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394\Desktop\CodeX\Space Control\outputs\XPBL2625WE\"/>
    </mc:Choice>
  </mc:AlternateContent>
  <xr:revisionPtr revIDLastSave="0" documentId="13_ncr:1_{07E57873-23E2-4B12-87CC-5A8AF35B9688}" xr6:coauthVersionLast="47" xr6:coauthVersionMax="47" xr10:uidLastSave="{00000000-0000-0000-0000-000000000000}"/>
  <bookViews>
    <workbookView xWindow="3312" yWindow="3312" windowWidth="23040" windowHeight="12060" xr2:uid="{00000000-000D-0000-FFFF-FFFF00000000}"/>
  </bookViews>
  <sheets>
    <sheet name="WB" sheetId="1" r:id="rId1"/>
    <sheet name="EB" sheetId="2" r:id="rId2"/>
  </sheets>
  <calcPr calcId="181029"/>
</workbook>
</file>

<file path=xl/calcChain.xml><?xml version="1.0" encoding="utf-8"?>
<calcChain xmlns="http://schemas.openxmlformats.org/spreadsheetml/2006/main">
  <c r="H55" i="2" l="1"/>
  <c r="AB52" i="2"/>
  <c r="AB55" i="2" s="1"/>
  <c r="Z52" i="2"/>
  <c r="Z55" i="2" s="1"/>
  <c r="X52" i="2"/>
  <c r="X55" i="2" s="1"/>
  <c r="V52" i="2"/>
  <c r="V55" i="2" s="1"/>
  <c r="T52" i="2"/>
  <c r="T55" i="2" s="1"/>
  <c r="R52" i="2"/>
  <c r="R55" i="2" s="1"/>
  <c r="P52" i="2"/>
  <c r="P55" i="2" s="1"/>
  <c r="N52" i="2"/>
  <c r="N55" i="2" s="1"/>
  <c r="L52" i="2"/>
  <c r="L55" i="2" s="1"/>
  <c r="J52" i="2"/>
  <c r="J55" i="2" s="1"/>
  <c r="H52" i="2"/>
  <c r="F52" i="2"/>
  <c r="F55" i="2" s="1"/>
  <c r="D52" i="2"/>
  <c r="D55" i="2" s="1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Q53" i="2" s="1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AC46" i="2"/>
  <c r="AB46" i="2"/>
  <c r="AA46" i="2"/>
  <c r="Z46" i="2"/>
  <c r="Y46" i="2"/>
  <c r="X46" i="2"/>
  <c r="X53" i="2" s="1"/>
  <c r="W46" i="2"/>
  <c r="V46" i="2"/>
  <c r="V54" i="2" s="1"/>
  <c r="U46" i="2"/>
  <c r="T46" i="2"/>
  <c r="S46" i="2"/>
  <c r="R46" i="2"/>
  <c r="R53" i="2" s="1"/>
  <c r="Q46" i="2"/>
  <c r="P46" i="2"/>
  <c r="O46" i="2"/>
  <c r="O53" i="2" s="1"/>
  <c r="N46" i="2"/>
  <c r="M46" i="2"/>
  <c r="L46" i="2"/>
  <c r="K46" i="2"/>
  <c r="J46" i="2"/>
  <c r="I46" i="2"/>
  <c r="H46" i="2"/>
  <c r="H53" i="2" s="1"/>
  <c r="G46" i="2"/>
  <c r="F46" i="2"/>
  <c r="F53" i="2" s="1"/>
  <c r="E46" i="2"/>
  <c r="D46" i="2"/>
  <c r="AE46" i="2" s="1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AE44" i="2"/>
  <c r="AF43" i="2"/>
  <c r="AE43" i="2"/>
  <c r="AG42" i="2"/>
  <c r="AF42" i="2"/>
  <c r="AE42" i="2"/>
  <c r="AF41" i="2"/>
  <c r="AE41" i="2"/>
  <c r="AF40" i="2"/>
  <c r="AE40" i="2"/>
  <c r="AG40" i="2" s="1"/>
  <c r="AF39" i="2"/>
  <c r="AE39" i="2"/>
  <c r="AG39" i="2" s="1"/>
  <c r="AK38" i="2"/>
  <c r="AJ38" i="2"/>
  <c r="AF38" i="2"/>
  <c r="AE38" i="2"/>
  <c r="AG38" i="2" s="1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AE36" i="2"/>
  <c r="AF35" i="2"/>
  <c r="AE35" i="2"/>
  <c r="AG35" i="2" s="1"/>
  <c r="AF34" i="2"/>
  <c r="AE34" i="2"/>
  <c r="AG34" i="2" s="1"/>
  <c r="AF33" i="2"/>
  <c r="AE33" i="2"/>
  <c r="AG33" i="2" s="1"/>
  <c r="AF32" i="2"/>
  <c r="AE32" i="2"/>
  <c r="AG31" i="2"/>
  <c r="AF31" i="2"/>
  <c r="AE31" i="2"/>
  <c r="AF30" i="2"/>
  <c r="AE30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AE28" i="2"/>
  <c r="AF27" i="2"/>
  <c r="AE27" i="2"/>
  <c r="AG26" i="2"/>
  <c r="AF26" i="2"/>
  <c r="AE26" i="2"/>
  <c r="AF25" i="2"/>
  <c r="AE25" i="2"/>
  <c r="AG25" i="2" s="1"/>
  <c r="AF24" i="2"/>
  <c r="AE24" i="2"/>
  <c r="AG24" i="2" s="1"/>
  <c r="AF23" i="2"/>
  <c r="AG23" i="2" s="1"/>
  <c r="AE23" i="2"/>
  <c r="AK22" i="2"/>
  <c r="AJ22" i="2"/>
  <c r="AF22" i="2"/>
  <c r="AE22" i="2"/>
  <c r="AG22" i="2" s="1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AE20" i="2"/>
  <c r="AF19" i="2"/>
  <c r="AG19" i="2" s="1"/>
  <c r="AE19" i="2"/>
  <c r="AF18" i="2"/>
  <c r="AE18" i="2"/>
  <c r="AG18" i="2" s="1"/>
  <c r="AF17" i="2"/>
  <c r="AG17" i="2" s="1"/>
  <c r="AE17" i="2"/>
  <c r="AF16" i="2"/>
  <c r="AE16" i="2"/>
  <c r="AF15" i="2"/>
  <c r="AE15" i="2"/>
  <c r="AK14" i="2"/>
  <c r="AJ14" i="2"/>
  <c r="AF14" i="2"/>
  <c r="AE14" i="2"/>
  <c r="AG14" i="2" s="1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AE12" i="2"/>
  <c r="AH12" i="2" s="1"/>
  <c r="AF11" i="2"/>
  <c r="AE11" i="2"/>
  <c r="AG11" i="2" s="1"/>
  <c r="AF10" i="2"/>
  <c r="AE10" i="2"/>
  <c r="AG10" i="2" s="1"/>
  <c r="AF9" i="2"/>
  <c r="AE9" i="2"/>
  <c r="AF8" i="2"/>
  <c r="AE8" i="2"/>
  <c r="AG8" i="2" s="1"/>
  <c r="AF7" i="2"/>
  <c r="AE7" i="2"/>
  <c r="AJ6" i="2"/>
  <c r="AF6" i="2"/>
  <c r="AE6" i="2"/>
  <c r="AL2" i="2"/>
  <c r="AJ2" i="2"/>
  <c r="AG2" i="2"/>
  <c r="AK30" i="2" s="1"/>
  <c r="D2" i="2"/>
  <c r="A2" i="2"/>
  <c r="X100" i="1"/>
  <c r="X103" i="1" s="1"/>
  <c r="V100" i="1"/>
  <c r="V103" i="1" s="1"/>
  <c r="T100" i="1"/>
  <c r="T103" i="1" s="1"/>
  <c r="R100" i="1"/>
  <c r="R103" i="1" s="1"/>
  <c r="P100" i="1"/>
  <c r="P103" i="1" s="1"/>
  <c r="N100" i="1"/>
  <c r="N103" i="1" s="1"/>
  <c r="L100" i="1"/>
  <c r="L103" i="1" s="1"/>
  <c r="J100" i="1"/>
  <c r="J103" i="1" s="1"/>
  <c r="H100" i="1"/>
  <c r="H103" i="1" s="1"/>
  <c r="F100" i="1"/>
  <c r="D100" i="1"/>
  <c r="D103" i="1" s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Y95" i="1"/>
  <c r="X95" i="1"/>
  <c r="W95" i="1"/>
  <c r="V95" i="1"/>
  <c r="U95" i="1"/>
  <c r="T95" i="1"/>
  <c r="T101" i="1" s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AB95" i="1" s="1"/>
  <c r="D95" i="1"/>
  <c r="D101" i="1" s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L102" i="1" s="1"/>
  <c r="K94" i="1"/>
  <c r="K101" i="1" s="1"/>
  <c r="J94" i="1"/>
  <c r="AA94" i="1" s="1"/>
  <c r="I94" i="1"/>
  <c r="H94" i="1"/>
  <c r="G94" i="1"/>
  <c r="F94" i="1"/>
  <c r="E94" i="1"/>
  <c r="D94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G92" i="1"/>
  <c r="AF92" i="1"/>
  <c r="AA92" i="1"/>
  <c r="AC91" i="1"/>
  <c r="AB91" i="1"/>
  <c r="AA91" i="1"/>
  <c r="AB90" i="1"/>
  <c r="AA90" i="1"/>
  <c r="AC90" i="1" s="1"/>
  <c r="AB89" i="1"/>
  <c r="AA89" i="1"/>
  <c r="AB88" i="1"/>
  <c r="AA88" i="1"/>
  <c r="AC88" i="1" s="1"/>
  <c r="AB87" i="1"/>
  <c r="AA87" i="1"/>
  <c r="AG86" i="1"/>
  <c r="AF86" i="1"/>
  <c r="AB86" i="1"/>
  <c r="AB93" i="1" s="1"/>
  <c r="AA86" i="1"/>
  <c r="AA93" i="1" s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AG84" i="1"/>
  <c r="AF84" i="1"/>
  <c r="AA84" i="1"/>
  <c r="AB83" i="1"/>
  <c r="AA83" i="1"/>
  <c r="AB82" i="1"/>
  <c r="AA82" i="1"/>
  <c r="AC82" i="1" s="1"/>
  <c r="AB81" i="1"/>
  <c r="AA81" i="1"/>
  <c r="AA85" i="1" s="1"/>
  <c r="AB80" i="1"/>
  <c r="AA80" i="1"/>
  <c r="AC80" i="1" s="1"/>
  <c r="AB79" i="1"/>
  <c r="AA79" i="1"/>
  <c r="AC79" i="1" s="1"/>
  <c r="AG78" i="1"/>
  <c r="AF78" i="1"/>
  <c r="AB78" i="1"/>
  <c r="AA78" i="1"/>
  <c r="AC78" i="1" s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G76" i="1"/>
  <c r="AF76" i="1"/>
  <c r="AA76" i="1"/>
  <c r="AC75" i="1"/>
  <c r="AB75" i="1"/>
  <c r="AA75" i="1"/>
  <c r="AB74" i="1"/>
  <c r="AA74" i="1"/>
  <c r="AB73" i="1"/>
  <c r="AA73" i="1"/>
  <c r="AC73" i="1" s="1"/>
  <c r="AB72" i="1"/>
  <c r="AA72" i="1"/>
  <c r="AC72" i="1" s="1"/>
  <c r="AB71" i="1"/>
  <c r="AA71" i="1"/>
  <c r="AC71" i="1" s="1"/>
  <c r="AG70" i="1"/>
  <c r="AF70" i="1"/>
  <c r="AB70" i="1"/>
  <c r="AB77" i="1" s="1"/>
  <c r="AA70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G68" i="1"/>
  <c r="AF68" i="1"/>
  <c r="AA68" i="1"/>
  <c r="AB67" i="1"/>
  <c r="AA67" i="1"/>
  <c r="AC67" i="1" s="1"/>
  <c r="AB66" i="1"/>
  <c r="AA66" i="1"/>
  <c r="AB65" i="1"/>
  <c r="AA65" i="1"/>
  <c r="AC65" i="1" s="1"/>
  <c r="AB64" i="1"/>
  <c r="AA64" i="1"/>
  <c r="AC64" i="1" s="1"/>
  <c r="AB63" i="1"/>
  <c r="AC63" i="1" s="1"/>
  <c r="AA63" i="1"/>
  <c r="AG62" i="1"/>
  <c r="AF62" i="1"/>
  <c r="AB62" i="1"/>
  <c r="AA62" i="1"/>
  <c r="AA69" i="1" s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G60" i="1"/>
  <c r="AF60" i="1"/>
  <c r="AA60" i="1"/>
  <c r="AB59" i="1"/>
  <c r="AA59" i="1"/>
  <c r="AB58" i="1"/>
  <c r="AA58" i="1"/>
  <c r="AC58" i="1" s="1"/>
  <c r="AB57" i="1"/>
  <c r="AA57" i="1"/>
  <c r="AC57" i="1" s="1"/>
  <c r="AB56" i="1"/>
  <c r="AA56" i="1"/>
  <c r="AC56" i="1" s="1"/>
  <c r="AB55" i="1"/>
  <c r="AA55" i="1"/>
  <c r="AG54" i="1"/>
  <c r="AF54" i="1"/>
  <c r="AB54" i="1"/>
  <c r="AC54" i="1" s="1"/>
  <c r="AA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G52" i="1"/>
  <c r="AF52" i="1"/>
  <c r="AA52" i="1"/>
  <c r="AB51" i="1"/>
  <c r="AA51" i="1"/>
  <c r="AC51" i="1" s="1"/>
  <c r="AB50" i="1"/>
  <c r="AA50" i="1"/>
  <c r="AB49" i="1"/>
  <c r="AC49" i="1" s="1"/>
  <c r="AA49" i="1"/>
  <c r="AB48" i="1"/>
  <c r="AC48" i="1" s="1"/>
  <c r="AA48" i="1"/>
  <c r="AB47" i="1"/>
  <c r="AA47" i="1"/>
  <c r="AC47" i="1" s="1"/>
  <c r="AG46" i="1"/>
  <c r="AF46" i="1"/>
  <c r="AB46" i="1"/>
  <c r="AA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G44" i="1"/>
  <c r="AF44" i="1"/>
  <c r="AA44" i="1"/>
  <c r="AB43" i="1"/>
  <c r="AA43" i="1"/>
  <c r="AC43" i="1" s="1"/>
  <c r="AB42" i="1"/>
  <c r="AA42" i="1"/>
  <c r="AC42" i="1" s="1"/>
  <c r="AB41" i="1"/>
  <c r="AA41" i="1"/>
  <c r="AC41" i="1" s="1"/>
  <c r="AB40" i="1"/>
  <c r="AA40" i="1"/>
  <c r="AC40" i="1" s="1"/>
  <c r="AB39" i="1"/>
  <c r="AB45" i="1" s="1"/>
  <c r="AA39" i="1"/>
  <c r="AA45" i="1" s="1"/>
  <c r="AG38" i="1"/>
  <c r="AF38" i="1"/>
  <c r="AC38" i="1"/>
  <c r="AB38" i="1"/>
  <c r="AA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G36" i="1"/>
  <c r="AF36" i="1"/>
  <c r="AA36" i="1"/>
  <c r="AB35" i="1"/>
  <c r="AA35" i="1"/>
  <c r="AC35" i="1" s="1"/>
  <c r="AB34" i="1"/>
  <c r="AA34" i="1"/>
  <c r="AB33" i="1"/>
  <c r="AA33" i="1"/>
  <c r="AB32" i="1"/>
  <c r="AA32" i="1"/>
  <c r="AC32" i="1" s="1"/>
  <c r="AB31" i="1"/>
  <c r="AA31" i="1"/>
  <c r="AC31" i="1" s="1"/>
  <c r="AG30" i="1"/>
  <c r="AF30" i="1"/>
  <c r="AB30" i="1"/>
  <c r="AA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G28" i="1"/>
  <c r="AF28" i="1"/>
  <c r="AA28" i="1"/>
  <c r="AB27" i="1"/>
  <c r="AA27" i="1"/>
  <c r="AC27" i="1" s="1"/>
  <c r="AB26" i="1"/>
  <c r="AA26" i="1"/>
  <c r="AC26" i="1" s="1"/>
  <c r="AB25" i="1"/>
  <c r="AA25" i="1"/>
  <c r="AC25" i="1" s="1"/>
  <c r="AB24" i="1"/>
  <c r="AA24" i="1"/>
  <c r="AB23" i="1"/>
  <c r="AB29" i="1" s="1"/>
  <c r="AA23" i="1"/>
  <c r="AC23" i="1" s="1"/>
  <c r="AG22" i="1"/>
  <c r="AF22" i="1"/>
  <c r="AB22" i="1"/>
  <c r="AA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G20" i="1"/>
  <c r="AF20" i="1"/>
  <c r="AA20" i="1"/>
  <c r="AB19" i="1"/>
  <c r="AA19" i="1"/>
  <c r="AC19" i="1" s="1"/>
  <c r="AB18" i="1"/>
  <c r="AA18" i="1"/>
  <c r="AB17" i="1"/>
  <c r="AA17" i="1"/>
  <c r="AB16" i="1"/>
  <c r="AA16" i="1"/>
  <c r="AB15" i="1"/>
  <c r="AA15" i="1"/>
  <c r="AC15" i="1" s="1"/>
  <c r="AG14" i="1"/>
  <c r="AF14" i="1"/>
  <c r="AB14" i="1"/>
  <c r="AA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G12" i="1"/>
  <c r="AF12" i="1"/>
  <c r="AA12" i="1"/>
  <c r="AD12" i="1" s="1"/>
  <c r="AB11" i="1"/>
  <c r="AA11" i="1"/>
  <c r="AB10" i="1"/>
  <c r="AA10" i="1"/>
  <c r="AJ10" i="1" s="1"/>
  <c r="AJ18" i="1" s="1"/>
  <c r="AJ26" i="1" s="1"/>
  <c r="AJ34" i="1" s="1"/>
  <c r="AJ42" i="1" s="1"/>
  <c r="AJ50" i="1" s="1"/>
  <c r="AJ58" i="1" s="1"/>
  <c r="AJ66" i="1" s="1"/>
  <c r="AJ74" i="1" s="1"/>
  <c r="AJ82" i="1" s="1"/>
  <c r="AJ90" i="1" s="1"/>
  <c r="AB9" i="1"/>
  <c r="AA9" i="1"/>
  <c r="AB8" i="1"/>
  <c r="AA8" i="1"/>
  <c r="AC8" i="1" s="1"/>
  <c r="AB7" i="1"/>
  <c r="AA7" i="1"/>
  <c r="AG6" i="1"/>
  <c r="AF6" i="1"/>
  <c r="AB6" i="1"/>
  <c r="AA6" i="1"/>
  <c r="AC6" i="1" s="1"/>
  <c r="AF49" i="2" l="1"/>
  <c r="AG7" i="2"/>
  <c r="AG32" i="2"/>
  <c r="E53" i="2"/>
  <c r="T54" i="2"/>
  <c r="M101" i="1"/>
  <c r="AB97" i="1"/>
  <c r="AB98" i="1"/>
  <c r="AG43" i="2"/>
  <c r="AF46" i="2"/>
  <c r="AG46" i="2" s="1"/>
  <c r="W53" i="2"/>
  <c r="H54" i="2"/>
  <c r="N102" i="1"/>
  <c r="AA98" i="1"/>
  <c r="AC98" i="1" s="1"/>
  <c r="H58" i="2"/>
  <c r="X58" i="2"/>
  <c r="S53" i="2"/>
  <c r="I53" i="2"/>
  <c r="Y53" i="2"/>
  <c r="AC50" i="1"/>
  <c r="AA21" i="1"/>
  <c r="AE47" i="2"/>
  <c r="AE48" i="2"/>
  <c r="T53" i="2"/>
  <c r="AE51" i="2"/>
  <c r="AG51" i="2" s="1"/>
  <c r="AB85" i="1"/>
  <c r="AC87" i="1"/>
  <c r="P101" i="1"/>
  <c r="P106" i="1" s="1"/>
  <c r="AG9" i="2"/>
  <c r="AH20" i="2"/>
  <c r="AH28" i="2" s="1"/>
  <c r="AM28" i="2" s="1"/>
  <c r="AE29" i="2"/>
  <c r="J53" i="2"/>
  <c r="J58" i="2" s="1"/>
  <c r="Z53" i="2"/>
  <c r="AF47" i="2"/>
  <c r="AF48" i="2"/>
  <c r="AF51" i="2"/>
  <c r="K53" i="2"/>
  <c r="AA53" i="2"/>
  <c r="P53" i="2"/>
  <c r="P58" i="2" s="1"/>
  <c r="AC55" i="1"/>
  <c r="AC61" i="1" s="1"/>
  <c r="R101" i="1"/>
  <c r="L53" i="2"/>
  <c r="L58" i="2" s="1"/>
  <c r="AB53" i="2"/>
  <c r="AB58" i="2" s="1"/>
  <c r="AC81" i="1"/>
  <c r="AC85" i="1" s="1"/>
  <c r="S101" i="1"/>
  <c r="G101" i="1"/>
  <c r="W101" i="1"/>
  <c r="AB99" i="1"/>
  <c r="M53" i="2"/>
  <c r="AC53" i="2"/>
  <c r="AE50" i="2"/>
  <c r="AA37" i="1"/>
  <c r="AB37" i="1"/>
  <c r="AC10" i="1"/>
  <c r="D102" i="1"/>
  <c r="H101" i="1"/>
  <c r="X101" i="1"/>
  <c r="X106" i="1" s="1"/>
  <c r="AA99" i="1"/>
  <c r="AC99" i="1" s="1"/>
  <c r="AF45" i="2"/>
  <c r="N53" i="2"/>
  <c r="N58" i="2" s="1"/>
  <c r="AF50" i="2"/>
  <c r="AG50" i="2" s="1"/>
  <c r="AA53" i="1"/>
  <c r="AC46" i="1"/>
  <c r="AC53" i="1" s="1"/>
  <c r="AC74" i="1"/>
  <c r="AC89" i="1"/>
  <c r="E101" i="1"/>
  <c r="T102" i="1"/>
  <c r="AE21" i="2"/>
  <c r="AC16" i="1"/>
  <c r="AA29" i="1"/>
  <c r="F101" i="1"/>
  <c r="F106" i="1" s="1"/>
  <c r="V102" i="1"/>
  <c r="P102" i="1"/>
  <c r="J101" i="1"/>
  <c r="J106" i="1" s="1"/>
  <c r="AF21" i="2"/>
  <c r="AE37" i="2"/>
  <c r="P54" i="2"/>
  <c r="AC24" i="1"/>
  <c r="AA13" i="1"/>
  <c r="AC17" i="1"/>
  <c r="AC33" i="1"/>
  <c r="AC59" i="1"/>
  <c r="Q101" i="1"/>
  <c r="AN10" i="2"/>
  <c r="AN18" i="2" s="1"/>
  <c r="AN26" i="2" s="1"/>
  <c r="AN34" i="2" s="1"/>
  <c r="AN42" i="2" s="1"/>
  <c r="AG16" i="2"/>
  <c r="AF37" i="2"/>
  <c r="AA97" i="1"/>
  <c r="AC97" i="1" s="1"/>
  <c r="AC66" i="1"/>
  <c r="AC62" i="1"/>
  <c r="AC69" i="1" s="1"/>
  <c r="AB21" i="1"/>
  <c r="H102" i="1"/>
  <c r="R102" i="1"/>
  <c r="AE13" i="2"/>
  <c r="R54" i="2"/>
  <c r="X54" i="2"/>
  <c r="AC9" i="1"/>
  <c r="O101" i="1"/>
  <c r="AC7" i="1"/>
  <c r="AC18" i="1"/>
  <c r="AC34" i="1"/>
  <c r="AA61" i="1"/>
  <c r="I101" i="1"/>
  <c r="Y101" i="1"/>
  <c r="AA100" i="1"/>
  <c r="AF13" i="2"/>
  <c r="AG27" i="2"/>
  <c r="AG29" i="2" s="1"/>
  <c r="AG41" i="2"/>
  <c r="AG45" i="2" s="1"/>
  <c r="AE49" i="2"/>
  <c r="AG49" i="2" s="1"/>
  <c r="D106" i="1"/>
  <c r="AG47" i="2"/>
  <c r="AG48" i="2"/>
  <c r="H106" i="1"/>
  <c r="R58" i="2"/>
  <c r="AD20" i="1"/>
  <c r="AI12" i="1"/>
  <c r="X102" i="1"/>
  <c r="AB13" i="1"/>
  <c r="AC39" i="1"/>
  <c r="AC45" i="1" s="1"/>
  <c r="AA96" i="1"/>
  <c r="AB94" i="1"/>
  <c r="AC94" i="1" s="1"/>
  <c r="D54" i="2"/>
  <c r="AK28" i="2"/>
  <c r="AC11" i="1"/>
  <c r="AD6" i="1" s="1"/>
  <c r="AB96" i="1"/>
  <c r="AC30" i="1"/>
  <c r="AC37" i="1" s="1"/>
  <c r="AB53" i="1"/>
  <c r="L101" i="1"/>
  <c r="AG30" i="2"/>
  <c r="AG37" i="2" s="1"/>
  <c r="AE45" i="2"/>
  <c r="D53" i="2"/>
  <c r="J54" i="2"/>
  <c r="AC86" i="1"/>
  <c r="AG15" i="2"/>
  <c r="AG21" i="2" s="1"/>
  <c r="U53" i="2"/>
  <c r="T58" i="2" s="1"/>
  <c r="L54" i="2"/>
  <c r="AB69" i="1"/>
  <c r="AE52" i="2"/>
  <c r="N101" i="1"/>
  <c r="N106" i="1" s="1"/>
  <c r="F102" i="1"/>
  <c r="AJ20" i="2"/>
  <c r="V53" i="2"/>
  <c r="V58" i="2" s="1"/>
  <c r="N54" i="2"/>
  <c r="AK6" i="2"/>
  <c r="AK20" i="2"/>
  <c r="AJ30" i="2"/>
  <c r="AJ44" i="2"/>
  <c r="G53" i="2"/>
  <c r="AE6" i="1"/>
  <c r="F103" i="1"/>
  <c r="AJ28" i="2"/>
  <c r="AC83" i="1"/>
  <c r="AG6" i="2"/>
  <c r="AC14" i="1"/>
  <c r="AC21" i="1" s="1"/>
  <c r="AC70" i="1"/>
  <c r="AC77" i="1" s="1"/>
  <c r="AA77" i="1"/>
  <c r="R106" i="1" s="1"/>
  <c r="J102" i="1"/>
  <c r="AM20" i="2"/>
  <c r="AK44" i="2"/>
  <c r="F54" i="2"/>
  <c r="AA95" i="1"/>
  <c r="AC95" i="1" s="1"/>
  <c r="AB61" i="1"/>
  <c r="AJ12" i="2"/>
  <c r="Z54" i="2"/>
  <c r="AC22" i="1"/>
  <c r="U101" i="1"/>
  <c r="AM12" i="2"/>
  <c r="AK36" i="2"/>
  <c r="AB54" i="2"/>
  <c r="AK12" i="2"/>
  <c r="AJ36" i="2"/>
  <c r="V101" i="1"/>
  <c r="AF29" i="2"/>
  <c r="F58" i="2" s="1"/>
  <c r="V106" i="1" l="1"/>
  <c r="AC93" i="1"/>
  <c r="T106" i="1"/>
  <c r="AC29" i="1"/>
  <c r="AF53" i="2"/>
  <c r="Z58" i="2"/>
  <c r="AH13" i="1"/>
  <c r="AD14" i="1"/>
  <c r="AE12" i="1"/>
  <c r="T107" i="1"/>
  <c r="T109" i="1" s="1"/>
  <c r="F59" i="2"/>
  <c r="F61" i="2" s="1"/>
  <c r="Z59" i="2"/>
  <c r="Z61" i="2" s="1"/>
  <c r="R107" i="1"/>
  <c r="R109" i="1" s="1"/>
  <c r="D59" i="2"/>
  <c r="D61" i="2" s="1"/>
  <c r="X59" i="2"/>
  <c r="X61" i="2" s="1"/>
  <c r="AG13" i="2"/>
  <c r="AI6" i="2"/>
  <c r="AI14" i="2" s="1"/>
  <c r="AI22" i="2" s="1"/>
  <c r="AI30" i="2" s="1"/>
  <c r="AI38" i="2" s="1"/>
  <c r="AH6" i="2"/>
  <c r="P59" i="2"/>
  <c r="P61" i="2" s="1"/>
  <c r="J107" i="1"/>
  <c r="J109" i="1" s="1"/>
  <c r="AC13" i="1"/>
  <c r="AH36" i="2"/>
  <c r="AI20" i="1"/>
  <c r="AD28" i="1"/>
  <c r="AC96" i="1"/>
  <c r="AE14" i="1"/>
  <c r="AE22" i="1" s="1"/>
  <c r="AE30" i="1" s="1"/>
  <c r="AE38" i="1" s="1"/>
  <c r="AE46" i="1" s="1"/>
  <c r="AE54" i="1" s="1"/>
  <c r="AE62" i="1" s="1"/>
  <c r="AE70" i="1" s="1"/>
  <c r="AE78" i="1" s="1"/>
  <c r="AE86" i="1" s="1"/>
  <c r="AB101" i="1"/>
  <c r="N59" i="2"/>
  <c r="N61" i="2" s="1"/>
  <c r="H107" i="1"/>
  <c r="H109" i="1" s="1"/>
  <c r="AE53" i="2"/>
  <c r="AG53" i="2" s="1"/>
  <c r="D58" i="2"/>
  <c r="L59" i="2"/>
  <c r="L61" i="2" s="1"/>
  <c r="F107" i="1"/>
  <c r="F109" i="1" s="1"/>
  <c r="V59" i="2"/>
  <c r="V61" i="2" s="1"/>
  <c r="P107" i="1"/>
  <c r="P109" i="1" s="1"/>
  <c r="AA101" i="1"/>
  <c r="T59" i="2"/>
  <c r="T61" i="2" s="1"/>
  <c r="N107" i="1"/>
  <c r="N109" i="1" s="1"/>
  <c r="X107" i="1"/>
  <c r="X109" i="1" s="1"/>
  <c r="J59" i="2"/>
  <c r="J61" i="2" s="1"/>
  <c r="D107" i="1"/>
  <c r="D109" i="1" s="1"/>
  <c r="H59" i="2"/>
  <c r="H61" i="2" s="1"/>
  <c r="V107" i="1"/>
  <c r="V109" i="1" s="1"/>
  <c r="AB59" i="2"/>
  <c r="AB61" i="2" s="1"/>
  <c r="L106" i="1"/>
  <c r="AC101" i="1" l="1"/>
  <c r="AL13" i="2"/>
  <c r="AH14" i="2"/>
  <c r="AI12" i="2"/>
  <c r="R59" i="2"/>
  <c r="R61" i="2" s="1"/>
  <c r="L107" i="1"/>
  <c r="L109" i="1" s="1"/>
  <c r="AE20" i="1"/>
  <c r="AD22" i="1"/>
  <c r="AH21" i="1"/>
  <c r="AD36" i="1"/>
  <c r="AI28" i="1"/>
  <c r="AE28" i="1"/>
  <c r="AH44" i="2"/>
  <c r="AM36" i="2"/>
  <c r="AM44" i="2" l="1"/>
  <c r="AI36" i="1"/>
  <c r="AD44" i="1"/>
  <c r="AH29" i="1"/>
  <c r="AD30" i="1"/>
  <c r="AH22" i="2"/>
  <c r="AL21" i="2"/>
  <c r="AI20" i="2"/>
  <c r="AL29" i="2" l="1"/>
  <c r="AH30" i="2"/>
  <c r="AI28" i="2"/>
  <c r="AD38" i="1"/>
  <c r="AH37" i="1"/>
  <c r="AD52" i="1"/>
  <c r="AE44" i="1"/>
  <c r="AI44" i="1"/>
  <c r="AE36" i="1"/>
  <c r="AI52" i="1" l="1"/>
  <c r="AD60" i="1"/>
  <c r="AH45" i="1"/>
  <c r="AD46" i="1"/>
  <c r="AH38" i="2"/>
  <c r="AL37" i="2"/>
  <c r="AI36" i="2"/>
  <c r="AL45" i="2" l="1"/>
  <c r="AI44" i="2"/>
  <c r="AD54" i="1"/>
  <c r="AH53" i="1"/>
  <c r="AE60" i="1"/>
  <c r="AI60" i="1"/>
  <c r="AD68" i="1"/>
  <c r="AE52" i="1"/>
  <c r="AD76" i="1" l="1"/>
  <c r="AI68" i="1"/>
  <c r="AH61" i="1"/>
  <c r="AD62" i="1"/>
  <c r="AD70" i="1" l="1"/>
  <c r="AH69" i="1"/>
  <c r="AE68" i="1"/>
  <c r="AE76" i="1"/>
  <c r="AD84" i="1"/>
  <c r="AI76" i="1"/>
  <c r="AD92" i="1" l="1"/>
  <c r="AI84" i="1"/>
  <c r="AH77" i="1"/>
  <c r="AD78" i="1"/>
  <c r="AH85" i="1" l="1"/>
  <c r="AD86" i="1"/>
  <c r="AH93" i="1" s="1"/>
  <c r="AE84" i="1"/>
  <c r="AE92" i="1"/>
  <c r="AI92" i="1"/>
</calcChain>
</file>

<file path=xl/sharedStrings.xml><?xml version="1.0" encoding="utf-8"?>
<sst xmlns="http://schemas.openxmlformats.org/spreadsheetml/2006/main" count="376" uniqueCount="74">
  <si>
    <t xml:space="preserve">Vessel Space Utilization Report - </t>
  </si>
  <si>
    <t>Selection: Source Bayplan, Actual Booking &amp; CBF</t>
  </si>
  <si>
    <t>Service Lane : CGX/0005</t>
  </si>
  <si>
    <t>EXPRESS BERLIN / XPBL2625WE</t>
  </si>
  <si>
    <t xml:space="preserve">WB ALLOCATION : </t>
  </si>
  <si>
    <t xml:space="preserve"> TEUS, </t>
  </si>
  <si>
    <t xml:space="preserve"> MT, </t>
  </si>
  <si>
    <t xml:space="preserve"> RF PLUGS </t>
  </si>
  <si>
    <t>POD</t>
  </si>
  <si>
    <t>CNTAO</t>
  </si>
  <si>
    <t>CNSHA</t>
  </si>
  <si>
    <t>CNNGB</t>
  </si>
  <si>
    <t>CNSHK</t>
  </si>
  <si>
    <t>CNNSA</t>
  </si>
  <si>
    <t>MYPKG</t>
  </si>
  <si>
    <t>INMUN</t>
  </si>
  <si>
    <t>AEKLF</t>
  </si>
  <si>
    <t>OMSOH</t>
  </si>
  <si>
    <t>PKKHI</t>
  </si>
  <si>
    <t>TOTAL</t>
  </si>
  <si>
    <t>TTL</t>
  </si>
  <si>
    <t>ROB (TEUS)</t>
  </si>
  <si>
    <t>UTILISATION</t>
  </si>
  <si>
    <t>AVL</t>
  </si>
  <si>
    <t>RF Plug</t>
  </si>
  <si>
    <t>ETA</t>
  </si>
  <si>
    <t>06/29</t>
  </si>
  <si>
    <t>07/03</t>
  </si>
  <si>
    <t>07/04</t>
  </si>
  <si>
    <t>07/07</t>
  </si>
  <si>
    <t>07/08</t>
  </si>
  <si>
    <t>07/13</t>
  </si>
  <si>
    <t>SKIP</t>
  </si>
  <si>
    <t>07/24</t>
  </si>
  <si>
    <t>07/27</t>
  </si>
  <si>
    <t>08/01</t>
  </si>
  <si>
    <t>08/16</t>
  </si>
  <si>
    <t>POL</t>
  </si>
  <si>
    <t>20'</t>
  </si>
  <si>
    <t>40'</t>
  </si>
  <si>
    <t>TEUS</t>
  </si>
  <si>
    <t>(All)</t>
  </si>
  <si>
    <t>(LD)</t>
  </si>
  <si>
    <t>TEUs</t>
  </si>
  <si>
    <t>Weight</t>
  </si>
  <si>
    <t>ROB</t>
  </si>
  <si>
    <t>LILIAN</t>
  </si>
  <si>
    <t>SUL</t>
  </si>
  <si>
    <t>T/S</t>
  </si>
  <si>
    <t>SOC</t>
  </si>
  <si>
    <t>RF</t>
  </si>
  <si>
    <t>MT</t>
  </si>
  <si>
    <t>ETB</t>
  </si>
  <si>
    <t>06/28</t>
  </si>
  <si>
    <t>ETD</t>
  </si>
  <si>
    <t>07/02</t>
  </si>
  <si>
    <t>07/22</t>
  </si>
  <si>
    <t>07/26</t>
  </si>
  <si>
    <t>07/30</t>
  </si>
  <si>
    <t>TOTAL MTONS</t>
  </si>
  <si>
    <t>Move Count Utilised (Sheet)</t>
  </si>
  <si>
    <t>Move Count Utilised (WB+EB)</t>
  </si>
  <si>
    <t>Move Count Limit</t>
  </si>
  <si>
    <t>Balance Move Count</t>
  </si>
  <si>
    <t xml:space="preserve">EB ALLOCATION : </t>
  </si>
  <si>
    <t>08/20</t>
  </si>
  <si>
    <t>08/21</t>
  </si>
  <si>
    <t>08/24</t>
  </si>
  <si>
    <t>08/25</t>
  </si>
  <si>
    <t>08/30</t>
  </si>
  <si>
    <t>09/10</t>
  </si>
  <si>
    <t>09/13</t>
  </si>
  <si>
    <t>09/18</t>
  </si>
  <si>
    <t>08/15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</si>
</sst>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\-0;;@"/>
    <numFmt numFmtId="177" formatCode="0.0;\-0.0;;@"/>
    <numFmt numFmtId="178" formatCode="0%;\-0%;;@"/>
  </numFmts>
  <fonts count="8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000000"/>
      <name val="Carlito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rlito"/>
    </font>
    <font>
      <b/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1"/>
    <xf numFmtId="0" fontId="1" fillId="0" borderId="1"/>
  </cellStyleXfs>
  <cellXfs count="106">
    <xf numFmtId="0" fontId="0" fillId="0" borderId="0" xfId="0" applyBorder="1"/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6" fontId="6" fillId="3" borderId="3" xfId="1" applyNumberFormat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176" fontId="6" fillId="4" borderId="3" xfId="1" applyNumberFormat="1" applyFont="1" applyFill="1" applyBorder="1" applyAlignment="1">
      <alignment horizontal="center" vertical="center"/>
    </xf>
    <xf numFmtId="177" fontId="6" fillId="4" borderId="3" xfId="1" applyNumberFormat="1" applyFont="1" applyFill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176" fontId="6" fillId="3" borderId="7" xfId="1" applyNumberFormat="1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176" fontId="6" fillId="3" borderId="8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176" fontId="6" fillId="3" borderId="13" xfId="1" applyNumberFormat="1" applyFont="1" applyFill="1" applyBorder="1" applyAlignment="1">
      <alignment horizontal="center" vertical="center"/>
    </xf>
    <xf numFmtId="176" fontId="6" fillId="3" borderId="5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176" fontId="6" fillId="3" borderId="12" xfId="1" applyNumberFormat="1" applyFont="1" applyFill="1" applyBorder="1" applyAlignment="1">
      <alignment horizontal="center" vertical="center"/>
    </xf>
    <xf numFmtId="176" fontId="6" fillId="3" borderId="14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left" vertical="center"/>
    </xf>
    <xf numFmtId="176" fontId="5" fillId="2" borderId="16" xfId="1" applyNumberFormat="1" applyFont="1" applyFill="1" applyBorder="1" applyAlignment="1">
      <alignment horizontal="center" vertical="center"/>
    </xf>
    <xf numFmtId="176" fontId="5" fillId="2" borderId="15" xfId="1" applyNumberFormat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178" fontId="5" fillId="2" borderId="16" xfId="1" applyNumberFormat="1" applyFont="1" applyFill="1" applyBorder="1" applyAlignment="1">
      <alignment horizontal="center" vertical="center"/>
    </xf>
    <xf numFmtId="178" fontId="5" fillId="2" borderId="15" xfId="1" applyNumberFormat="1" applyFont="1" applyFill="1" applyBorder="1" applyAlignment="1">
      <alignment horizontal="center" vertical="center"/>
    </xf>
    <xf numFmtId="177" fontId="5" fillId="2" borderId="9" xfId="1" applyNumberFormat="1" applyFont="1" applyFill="1" applyBorder="1" applyAlignment="1">
      <alignment horizontal="center" vertical="center"/>
    </xf>
    <xf numFmtId="176" fontId="5" fillId="2" borderId="11" xfId="1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left" vertical="center"/>
    </xf>
    <xf numFmtId="177" fontId="5" fillId="2" borderId="19" xfId="1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7" fontId="5" fillId="2" borderId="17" xfId="1" applyNumberFormat="1" applyFont="1" applyFill="1" applyBorder="1" applyAlignment="1">
      <alignment horizontal="center" vertical="center"/>
    </xf>
    <xf numFmtId="178" fontId="5" fillId="2" borderId="19" xfId="1" applyNumberFormat="1" applyFont="1" applyFill="1" applyBorder="1" applyAlignment="1">
      <alignment horizontal="center" vertical="center"/>
    </xf>
    <xf numFmtId="178" fontId="5" fillId="2" borderId="17" xfId="1" applyNumberFormat="1" applyFont="1" applyFill="1" applyBorder="1" applyAlignment="1">
      <alignment horizontal="center" vertical="center"/>
    </xf>
    <xf numFmtId="177" fontId="5" fillId="2" borderId="18" xfId="1" applyNumberFormat="1" applyFont="1" applyFill="1" applyBorder="1" applyAlignment="1">
      <alignment horizontal="center" vertical="center"/>
    </xf>
    <xf numFmtId="177" fontId="5" fillId="2" borderId="26" xfId="1" applyNumberFormat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left" vertical="center"/>
    </xf>
    <xf numFmtId="176" fontId="5" fillId="2" borderId="22" xfId="1" applyNumberFormat="1" applyFont="1" applyFill="1" applyBorder="1" applyAlignment="1">
      <alignment horizontal="center" vertical="center"/>
    </xf>
    <xf numFmtId="176" fontId="5" fillId="2" borderId="20" xfId="1" applyNumberFormat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177" fontId="5" fillId="2" borderId="21" xfId="1" applyNumberFormat="1" applyFont="1" applyFill="1" applyBorder="1" applyAlignment="1">
      <alignment horizontal="center" vertical="center"/>
    </xf>
    <xf numFmtId="176" fontId="5" fillId="2" borderId="28" xfId="1" applyNumberFormat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176" fontId="5" fillId="2" borderId="19" xfId="1" applyNumberFormat="1" applyFont="1" applyFill="1" applyBorder="1" applyAlignment="1">
      <alignment horizontal="center" vertical="center"/>
    </xf>
    <xf numFmtId="176" fontId="5" fillId="2" borderId="17" xfId="1" applyNumberFormat="1" applyFont="1" applyFill="1" applyBorder="1" applyAlignment="1">
      <alignment horizontal="center" vertical="center"/>
    </xf>
    <xf numFmtId="176" fontId="4" fillId="2" borderId="22" xfId="1" applyNumberFormat="1" applyFont="1" applyFill="1" applyBorder="1" applyAlignment="1">
      <alignment horizontal="center" vertical="center"/>
    </xf>
    <xf numFmtId="176" fontId="4" fillId="2" borderId="20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177" fontId="4" fillId="2" borderId="21" xfId="1" applyNumberFormat="1" applyFont="1" applyFill="1" applyBorder="1" applyAlignment="1">
      <alignment horizontal="center" vertical="center"/>
    </xf>
    <xf numFmtId="176" fontId="4" fillId="2" borderId="28" xfId="1" applyNumberFormat="1" applyFont="1" applyFill="1" applyBorder="1" applyAlignment="1">
      <alignment horizontal="center" vertical="center"/>
    </xf>
    <xf numFmtId="176" fontId="4" fillId="2" borderId="19" xfId="1" applyNumberFormat="1" applyFont="1" applyFill="1" applyBorder="1" applyAlignment="1">
      <alignment horizontal="center" vertical="center"/>
    </xf>
    <xf numFmtId="176" fontId="4" fillId="2" borderId="17" xfId="1" applyNumberFormat="1" applyFont="1" applyFill="1" applyBorder="1" applyAlignment="1">
      <alignment horizontal="center" vertical="center"/>
    </xf>
    <xf numFmtId="177" fontId="4" fillId="2" borderId="18" xfId="1" applyNumberFormat="1" applyFont="1" applyFill="1" applyBorder="1" applyAlignment="1">
      <alignment horizontal="center" vertical="center"/>
    </xf>
    <xf numFmtId="176" fontId="4" fillId="2" borderId="26" xfId="1" applyNumberFormat="1" applyFont="1" applyFill="1" applyBorder="1" applyAlignment="1">
      <alignment horizontal="center" vertical="center"/>
    </xf>
    <xf numFmtId="177" fontId="4" fillId="2" borderId="19" xfId="1" applyNumberFormat="1" applyFont="1" applyFill="1" applyBorder="1" applyAlignment="1">
      <alignment horizontal="center" vertical="center"/>
    </xf>
    <xf numFmtId="177" fontId="4" fillId="2" borderId="17" xfId="1" applyNumberFormat="1" applyFont="1" applyFill="1" applyBorder="1" applyAlignment="1">
      <alignment horizontal="center" vertical="center"/>
    </xf>
    <xf numFmtId="177" fontId="4" fillId="2" borderId="26" xfId="1" applyNumberFormat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left" vertical="center"/>
    </xf>
    <xf numFmtId="0" fontId="5" fillId="2" borderId="17" xfId="1" applyFont="1" applyFill="1" applyBorder="1" applyAlignment="1">
      <alignment horizontal="center" vertical="center"/>
    </xf>
    <xf numFmtId="176" fontId="5" fillId="2" borderId="26" xfId="1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176" fontId="4" fillId="2" borderId="19" xfId="1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7" fontId="5" fillId="2" borderId="19" xfId="1" applyNumberFormat="1" applyFont="1" applyFill="1" applyBorder="1" applyAlignment="1">
      <alignment horizontal="center" vertical="center"/>
    </xf>
    <xf numFmtId="177" fontId="4" fillId="2" borderId="19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76" fontId="6" fillId="3" borderId="3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6" fontId="6" fillId="3" borderId="10" xfId="1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76" fontId="4" fillId="2" borderId="22" xfId="1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6" fontId="6" fillId="3" borderId="4" xfId="1" applyNumberFormat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6" fillId="3" borderId="7" xfId="1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176" fontId="7" fillId="4" borderId="10" xfId="1" applyNumberFormat="1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1" applyFont="1" applyFill="1" applyBorder="1" applyAlignment="1">
      <alignment horizontal="center" vertical="center"/>
    </xf>
    <xf numFmtId="177" fontId="3" fillId="2" borderId="19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6"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09"/>
  <sheetViews>
    <sheetView showGridLines="0" tabSelected="1" zoomScale="85" workbookViewId="0">
      <pane xSplit="3" ySplit="5" topLeftCell="D6" activePane="bottomRight" state="frozen"/>
      <selection pane="topRight"/>
      <selection pane="bottomLeft"/>
      <selection pane="bottomRight" sqref="A1:G1"/>
    </sheetView>
  </sheetViews>
  <sheetFormatPr defaultRowHeight="13.8"/>
  <cols>
    <col min="1" max="1" width="8" customWidth="1"/>
    <col min="2" max="2" width="9" customWidth="1"/>
    <col min="3" max="3" width="11" customWidth="1"/>
    <col min="4" max="25" width="7.5" customWidth="1"/>
    <col min="26" max="26" width="2" customWidth="1"/>
    <col min="27" max="36" width="9.5" customWidth="1"/>
  </cols>
  <sheetData>
    <row r="1" spans="1:36" ht="19.95" customHeight="1">
      <c r="A1" s="93" t="s">
        <v>0</v>
      </c>
      <c r="B1" s="81"/>
      <c r="C1" s="81"/>
      <c r="D1" s="81"/>
      <c r="E1" s="81"/>
      <c r="F1" s="81"/>
      <c r="G1" s="81"/>
      <c r="H1" s="89" t="s">
        <v>1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1"/>
      <c r="AA1" s="81"/>
      <c r="AB1" s="81"/>
      <c r="AC1" s="81"/>
      <c r="AD1" s="81"/>
      <c r="AE1" s="81"/>
      <c r="AF1" s="81"/>
      <c r="AG1" s="81"/>
      <c r="AH1" s="81"/>
      <c r="AI1" s="81"/>
      <c r="AJ1" s="82"/>
    </row>
    <row r="2" spans="1:36" ht="19.95" customHeight="1">
      <c r="A2" s="101" t="s">
        <v>2</v>
      </c>
      <c r="B2" s="80"/>
      <c r="C2" s="80"/>
      <c r="D2" s="79" t="s">
        <v>3</v>
      </c>
      <c r="E2" s="80"/>
      <c r="F2" s="80"/>
      <c r="G2" s="80"/>
      <c r="H2" s="8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/>
      <c r="Y2" s="2"/>
      <c r="Z2" s="2"/>
      <c r="AA2" s="79" t="s">
        <v>4</v>
      </c>
      <c r="AB2" s="80"/>
      <c r="AC2" s="5">
        <v>0</v>
      </c>
      <c r="AD2" s="3" t="s">
        <v>5</v>
      </c>
      <c r="AE2" s="4"/>
      <c r="AF2" s="6"/>
      <c r="AG2" s="3" t="s">
        <v>6</v>
      </c>
      <c r="AH2" s="5">
        <v>0</v>
      </c>
      <c r="AI2" s="3" t="s">
        <v>7</v>
      </c>
      <c r="AJ2" s="7"/>
    </row>
    <row r="3" spans="1:36" ht="19.95" customHeight="1">
      <c r="A3" s="93" t="s">
        <v>8</v>
      </c>
      <c r="B3" s="81"/>
      <c r="C3" s="82"/>
      <c r="D3" s="92" t="s">
        <v>9</v>
      </c>
      <c r="E3" s="81"/>
      <c r="F3" s="92" t="s">
        <v>10</v>
      </c>
      <c r="G3" s="81"/>
      <c r="H3" s="92" t="s">
        <v>11</v>
      </c>
      <c r="I3" s="81"/>
      <c r="J3" s="92" t="s">
        <v>12</v>
      </c>
      <c r="K3" s="81"/>
      <c r="L3" s="92" t="s">
        <v>13</v>
      </c>
      <c r="M3" s="81"/>
      <c r="N3" s="92" t="s">
        <v>14</v>
      </c>
      <c r="O3" s="81"/>
      <c r="P3" s="92" t="s">
        <v>15</v>
      </c>
      <c r="Q3" s="81"/>
      <c r="R3" s="92" t="s">
        <v>16</v>
      </c>
      <c r="S3" s="81"/>
      <c r="T3" s="92" t="s">
        <v>17</v>
      </c>
      <c r="U3" s="81"/>
      <c r="V3" s="92" t="s">
        <v>18</v>
      </c>
      <c r="W3" s="81"/>
      <c r="X3" s="92" t="s">
        <v>9</v>
      </c>
      <c r="Y3" s="81"/>
      <c r="Z3" s="1"/>
      <c r="AA3" s="92" t="s">
        <v>19</v>
      </c>
      <c r="AB3" s="81"/>
      <c r="AC3" s="9" t="s">
        <v>20</v>
      </c>
      <c r="AD3" s="92" t="s">
        <v>21</v>
      </c>
      <c r="AE3" s="81"/>
      <c r="AF3" s="92" t="s">
        <v>22</v>
      </c>
      <c r="AG3" s="81"/>
      <c r="AH3" s="92" t="s">
        <v>23</v>
      </c>
      <c r="AI3" s="82"/>
      <c r="AJ3" s="10" t="s">
        <v>24</v>
      </c>
    </row>
    <row r="4" spans="1:36" ht="19.95" customHeight="1">
      <c r="A4" s="90" t="s">
        <v>25</v>
      </c>
      <c r="B4" s="84"/>
      <c r="C4" s="91"/>
      <c r="D4" s="83" t="s">
        <v>26</v>
      </c>
      <c r="E4" s="84"/>
      <c r="F4" s="83" t="s">
        <v>27</v>
      </c>
      <c r="G4" s="84"/>
      <c r="H4" s="83" t="s">
        <v>28</v>
      </c>
      <c r="I4" s="84"/>
      <c r="J4" s="83" t="s">
        <v>29</v>
      </c>
      <c r="K4" s="84"/>
      <c r="L4" s="83" t="s">
        <v>30</v>
      </c>
      <c r="M4" s="84"/>
      <c r="N4" s="83" t="s">
        <v>31</v>
      </c>
      <c r="O4" s="84"/>
      <c r="P4" s="100" t="s">
        <v>32</v>
      </c>
      <c r="Q4" s="84"/>
      <c r="R4" s="83" t="s">
        <v>33</v>
      </c>
      <c r="S4" s="84"/>
      <c r="T4" s="83" t="s">
        <v>34</v>
      </c>
      <c r="U4" s="84"/>
      <c r="V4" s="83" t="s">
        <v>35</v>
      </c>
      <c r="W4" s="84"/>
      <c r="X4" s="83" t="s">
        <v>36</v>
      </c>
      <c r="Y4" s="84"/>
      <c r="Z4" s="12"/>
      <c r="AA4" s="90"/>
      <c r="AB4" s="84"/>
      <c r="AC4" s="13"/>
      <c r="AD4" s="90"/>
      <c r="AE4" s="84"/>
      <c r="AF4" s="90"/>
      <c r="AG4" s="84"/>
      <c r="AH4" s="90"/>
      <c r="AI4" s="91"/>
      <c r="AJ4" s="14"/>
    </row>
    <row r="5" spans="1:36" ht="19.95" customHeight="1">
      <c r="A5" s="94" t="s">
        <v>37</v>
      </c>
      <c r="B5" s="95"/>
      <c r="C5" s="96"/>
      <c r="D5" s="15" t="s">
        <v>38</v>
      </c>
      <c r="E5" s="16" t="s">
        <v>39</v>
      </c>
      <c r="F5" s="15" t="s">
        <v>38</v>
      </c>
      <c r="G5" s="16" t="s">
        <v>39</v>
      </c>
      <c r="H5" s="15" t="s">
        <v>38</v>
      </c>
      <c r="I5" s="16" t="s">
        <v>39</v>
      </c>
      <c r="J5" s="15" t="s">
        <v>38</v>
      </c>
      <c r="K5" s="16" t="s">
        <v>39</v>
      </c>
      <c r="L5" s="15" t="s">
        <v>38</v>
      </c>
      <c r="M5" s="16" t="s">
        <v>39</v>
      </c>
      <c r="N5" s="15" t="s">
        <v>38</v>
      </c>
      <c r="O5" s="16" t="s">
        <v>39</v>
      </c>
      <c r="P5" s="15" t="s">
        <v>38</v>
      </c>
      <c r="Q5" s="16" t="s">
        <v>39</v>
      </c>
      <c r="R5" s="15" t="s">
        <v>38</v>
      </c>
      <c r="S5" s="16" t="s">
        <v>39</v>
      </c>
      <c r="T5" s="15" t="s">
        <v>38</v>
      </c>
      <c r="U5" s="16" t="s">
        <v>39</v>
      </c>
      <c r="V5" s="15" t="s">
        <v>38</v>
      </c>
      <c r="W5" s="16" t="s">
        <v>39</v>
      </c>
      <c r="X5" s="15" t="s">
        <v>38</v>
      </c>
      <c r="Y5" s="16" t="s">
        <v>39</v>
      </c>
      <c r="Z5" s="17"/>
      <c r="AA5" s="15" t="s">
        <v>38</v>
      </c>
      <c r="AB5" s="16" t="s">
        <v>39</v>
      </c>
      <c r="AC5" s="15" t="s">
        <v>40</v>
      </c>
      <c r="AD5" s="15" t="s">
        <v>41</v>
      </c>
      <c r="AE5" s="16" t="s">
        <v>42</v>
      </c>
      <c r="AF5" s="15" t="s">
        <v>41</v>
      </c>
      <c r="AG5" s="16" t="s">
        <v>42</v>
      </c>
      <c r="AH5" s="15" t="s">
        <v>43</v>
      </c>
      <c r="AI5" s="18" t="s">
        <v>44</v>
      </c>
      <c r="AJ5" s="19"/>
    </row>
    <row r="6" spans="1:36" ht="18" customHeight="1">
      <c r="A6" s="76" t="s">
        <v>45</v>
      </c>
      <c r="B6" s="77"/>
      <c r="C6" s="22" t="s">
        <v>46</v>
      </c>
      <c r="D6" s="23"/>
      <c r="E6" s="24"/>
      <c r="F6" s="23"/>
      <c r="G6" s="24"/>
      <c r="H6" s="23"/>
      <c r="I6" s="24"/>
      <c r="J6" s="23"/>
      <c r="K6" s="24"/>
      <c r="L6" s="23"/>
      <c r="M6" s="24"/>
      <c r="N6" s="23"/>
      <c r="O6" s="24"/>
      <c r="P6" s="23"/>
      <c r="Q6" s="24"/>
      <c r="R6" s="23"/>
      <c r="S6" s="24"/>
      <c r="T6" s="23"/>
      <c r="U6" s="24"/>
      <c r="V6" s="23"/>
      <c r="W6" s="24"/>
      <c r="X6" s="23"/>
      <c r="Y6" s="24"/>
      <c r="Z6" s="25"/>
      <c r="AA6" s="23">
        <f t="shared" ref="AA6:AB11" si="0">D6+F6+H6+J6+L6+N6+P6+R6+T6+V6+X6</f>
        <v>0</v>
      </c>
      <c r="AB6" s="24">
        <f t="shared" si="0"/>
        <v>0</v>
      </c>
      <c r="AC6" s="23">
        <f t="shared" ref="AC6:AC11" si="1">AA6+AB6*2</f>
        <v>0</v>
      </c>
      <c r="AD6" s="23">
        <f>0+AC6+AC7+AC8+AC9+AC10+AC11-(0)</f>
        <v>0</v>
      </c>
      <c r="AE6" s="24">
        <f>0+AC6+AC7+AC8+AC9+AC10-((0)-(0))</f>
        <v>0</v>
      </c>
      <c r="AF6" s="26">
        <f>IF($AC$2&gt;0,AD6/$AC$2,0)</f>
        <v>0</v>
      </c>
      <c r="AG6" s="27">
        <f>IF($AC$2&gt;0,AE6/$AC$2,0)</f>
        <v>0</v>
      </c>
      <c r="AH6" s="23"/>
      <c r="AI6" s="28"/>
      <c r="AJ6" s="29"/>
    </row>
    <row r="7" spans="1:36" ht="18" customHeight="1">
      <c r="A7" s="78"/>
      <c r="B7" s="77"/>
      <c r="C7" s="22" t="s">
        <v>47</v>
      </c>
      <c r="D7" s="23"/>
      <c r="E7" s="24"/>
      <c r="F7" s="23"/>
      <c r="G7" s="24"/>
      <c r="H7" s="23"/>
      <c r="I7" s="24"/>
      <c r="J7" s="23"/>
      <c r="K7" s="24"/>
      <c r="L7" s="23"/>
      <c r="M7" s="24"/>
      <c r="N7" s="23"/>
      <c r="O7" s="24"/>
      <c r="P7" s="23"/>
      <c r="Q7" s="24"/>
      <c r="R7" s="23"/>
      <c r="S7" s="24"/>
      <c r="T7" s="23"/>
      <c r="U7" s="24"/>
      <c r="V7" s="23"/>
      <c r="W7" s="24"/>
      <c r="X7" s="23"/>
      <c r="Y7" s="24"/>
      <c r="Z7" s="25"/>
      <c r="AA7" s="23">
        <f t="shared" si="0"/>
        <v>0</v>
      </c>
      <c r="AB7" s="24">
        <f t="shared" si="0"/>
        <v>0</v>
      </c>
      <c r="AC7" s="23">
        <f t="shared" si="1"/>
        <v>0</v>
      </c>
      <c r="AD7" s="23"/>
      <c r="AE7" s="24"/>
      <c r="AF7" s="23"/>
      <c r="AG7" s="24"/>
      <c r="AH7" s="23"/>
      <c r="AI7" s="28"/>
      <c r="AJ7" s="29"/>
    </row>
    <row r="8" spans="1:36" ht="18" customHeight="1">
      <c r="A8" s="78"/>
      <c r="B8" s="77"/>
      <c r="C8" s="22" t="s">
        <v>48</v>
      </c>
      <c r="D8" s="23"/>
      <c r="E8" s="24"/>
      <c r="F8" s="23"/>
      <c r="G8" s="24"/>
      <c r="H8" s="23"/>
      <c r="I8" s="24"/>
      <c r="J8" s="23"/>
      <c r="K8" s="24"/>
      <c r="L8" s="23"/>
      <c r="M8" s="24"/>
      <c r="N8" s="23"/>
      <c r="O8" s="24"/>
      <c r="P8" s="23"/>
      <c r="Q8" s="24"/>
      <c r="R8" s="23"/>
      <c r="S8" s="24"/>
      <c r="T8" s="23"/>
      <c r="U8" s="24"/>
      <c r="V8" s="23"/>
      <c r="W8" s="24"/>
      <c r="X8" s="23"/>
      <c r="Y8" s="24"/>
      <c r="Z8" s="25"/>
      <c r="AA8" s="23">
        <f t="shared" si="0"/>
        <v>0</v>
      </c>
      <c r="AB8" s="24">
        <f t="shared" si="0"/>
        <v>0</v>
      </c>
      <c r="AC8" s="23">
        <f t="shared" si="1"/>
        <v>0</v>
      </c>
      <c r="AD8" s="23"/>
      <c r="AE8" s="24"/>
      <c r="AF8" s="23"/>
      <c r="AG8" s="24"/>
      <c r="AH8" s="23"/>
      <c r="AI8" s="28"/>
      <c r="AJ8" s="29"/>
    </row>
    <row r="9" spans="1:36" ht="18" customHeight="1">
      <c r="A9" s="78"/>
      <c r="B9" s="77"/>
      <c r="C9" s="22" t="s">
        <v>49</v>
      </c>
      <c r="D9" s="23"/>
      <c r="E9" s="24"/>
      <c r="F9" s="23"/>
      <c r="G9" s="24"/>
      <c r="H9" s="23"/>
      <c r="I9" s="24"/>
      <c r="J9" s="23"/>
      <c r="K9" s="24"/>
      <c r="L9" s="23"/>
      <c r="M9" s="24"/>
      <c r="N9" s="23"/>
      <c r="O9" s="24"/>
      <c r="P9" s="23"/>
      <c r="Q9" s="24"/>
      <c r="R9" s="23"/>
      <c r="S9" s="24"/>
      <c r="T9" s="23"/>
      <c r="U9" s="24"/>
      <c r="V9" s="23"/>
      <c r="W9" s="24"/>
      <c r="X9" s="23"/>
      <c r="Y9" s="24"/>
      <c r="Z9" s="25"/>
      <c r="AA9" s="23">
        <f t="shared" si="0"/>
        <v>0</v>
      </c>
      <c r="AB9" s="24">
        <f t="shared" si="0"/>
        <v>0</v>
      </c>
      <c r="AC9" s="23">
        <f t="shared" si="1"/>
        <v>0</v>
      </c>
      <c r="AD9" s="23"/>
      <c r="AE9" s="24"/>
      <c r="AF9" s="23"/>
      <c r="AG9" s="24"/>
      <c r="AH9" s="23"/>
      <c r="AI9" s="28"/>
      <c r="AJ9" s="29"/>
    </row>
    <row r="10" spans="1:36" ht="18" customHeight="1">
      <c r="A10" s="78"/>
      <c r="B10" s="77"/>
      <c r="C10" s="22" t="s">
        <v>50</v>
      </c>
      <c r="D10" s="23"/>
      <c r="E10" s="24"/>
      <c r="F10" s="23"/>
      <c r="G10" s="24"/>
      <c r="H10" s="23"/>
      <c r="I10" s="24"/>
      <c r="J10" s="23"/>
      <c r="K10" s="24"/>
      <c r="L10" s="23"/>
      <c r="M10" s="24"/>
      <c r="N10" s="23"/>
      <c r="O10" s="24"/>
      <c r="P10" s="23"/>
      <c r="Q10" s="24"/>
      <c r="R10" s="23"/>
      <c r="S10" s="24"/>
      <c r="T10" s="23"/>
      <c r="U10" s="24"/>
      <c r="V10" s="23"/>
      <c r="W10" s="24"/>
      <c r="X10" s="23"/>
      <c r="Y10" s="24"/>
      <c r="Z10" s="25"/>
      <c r="AA10" s="23">
        <f t="shared" si="0"/>
        <v>0</v>
      </c>
      <c r="AB10" s="24">
        <f t="shared" si="0"/>
        <v>0</v>
      </c>
      <c r="AC10" s="23">
        <f t="shared" si="1"/>
        <v>0</v>
      </c>
      <c r="AD10" s="23"/>
      <c r="AE10" s="24"/>
      <c r="AF10" s="23"/>
      <c r="AG10" s="24"/>
      <c r="AH10" s="23"/>
      <c r="AI10" s="28"/>
      <c r="AJ10" s="29">
        <f>$AH$2-(AA10+AB10)</f>
        <v>0</v>
      </c>
    </row>
    <row r="11" spans="1:36" ht="18" customHeight="1">
      <c r="A11" s="20"/>
      <c r="B11" s="31"/>
      <c r="C11" s="22" t="s">
        <v>51</v>
      </c>
      <c r="D11" s="23"/>
      <c r="E11" s="24"/>
      <c r="F11" s="23"/>
      <c r="G11" s="24"/>
      <c r="H11" s="23"/>
      <c r="I11" s="24"/>
      <c r="J11" s="23"/>
      <c r="K11" s="24"/>
      <c r="L11" s="23"/>
      <c r="M11" s="24"/>
      <c r="N11" s="23"/>
      <c r="O11" s="24"/>
      <c r="P11" s="23"/>
      <c r="Q11" s="24"/>
      <c r="R11" s="23"/>
      <c r="S11" s="24"/>
      <c r="T11" s="23"/>
      <c r="U11" s="24"/>
      <c r="V11" s="23"/>
      <c r="W11" s="24"/>
      <c r="X11" s="23"/>
      <c r="Y11" s="24"/>
      <c r="Z11" s="25"/>
      <c r="AA11" s="23">
        <f t="shared" si="0"/>
        <v>0</v>
      </c>
      <c r="AB11" s="24">
        <f t="shared" si="0"/>
        <v>0</v>
      </c>
      <c r="AC11" s="23">
        <f t="shared" si="1"/>
        <v>0</v>
      </c>
      <c r="AD11" s="23"/>
      <c r="AE11" s="24"/>
      <c r="AF11" s="23"/>
      <c r="AG11" s="24"/>
      <c r="AH11" s="23"/>
      <c r="AI11" s="28"/>
      <c r="AJ11" s="29"/>
    </row>
    <row r="12" spans="1:36" ht="18" customHeight="1">
      <c r="A12" s="32"/>
      <c r="B12" s="33"/>
      <c r="C12" s="34" t="s">
        <v>44</v>
      </c>
      <c r="D12" s="74"/>
      <c r="E12" s="73"/>
      <c r="F12" s="74"/>
      <c r="G12" s="73"/>
      <c r="H12" s="74"/>
      <c r="I12" s="73"/>
      <c r="J12" s="74"/>
      <c r="K12" s="73"/>
      <c r="L12" s="74"/>
      <c r="M12" s="73"/>
      <c r="N12" s="74"/>
      <c r="O12" s="73"/>
      <c r="P12" s="74"/>
      <c r="Q12" s="73"/>
      <c r="R12" s="74"/>
      <c r="S12" s="73"/>
      <c r="T12" s="74"/>
      <c r="U12" s="73"/>
      <c r="V12" s="74"/>
      <c r="W12" s="73"/>
      <c r="X12" s="74"/>
      <c r="Y12" s="73"/>
      <c r="Z12" s="36"/>
      <c r="AA12" s="74">
        <f>D12+F12+H12+J12+L12+N12+P12+R12+T12+V12+X12</f>
        <v>0</v>
      </c>
      <c r="AB12" s="73"/>
      <c r="AC12" s="35"/>
      <c r="AD12" s="35">
        <f>0+AA12-(0)</f>
        <v>0</v>
      </c>
      <c r="AE12" s="37">
        <f>AD12-(AD6-AE6)*2</f>
        <v>0</v>
      </c>
      <c r="AF12" s="38">
        <f>IF($AF$2&gt;0,AD12/$AF$2,0)</f>
        <v>0</v>
      </c>
      <c r="AG12" s="39">
        <f>IF($AF$2&gt;0,AE12/$AF$2,0)</f>
        <v>0</v>
      </c>
      <c r="AH12" s="35"/>
      <c r="AI12" s="40">
        <f>$AF$2-AD12</f>
        <v>0</v>
      </c>
      <c r="AJ12" s="41"/>
    </row>
    <row r="13" spans="1:36" ht="18" customHeight="1">
      <c r="A13" s="87"/>
      <c r="B13" s="88"/>
      <c r="C13" s="42" t="s">
        <v>20</v>
      </c>
      <c r="D13" s="43">
        <f t="shared" ref="D13:Y13" si="2">D6+D7+D8+D9+D10+D11</f>
        <v>0</v>
      </c>
      <c r="E13" s="44">
        <f t="shared" si="2"/>
        <v>0</v>
      </c>
      <c r="F13" s="43">
        <f t="shared" si="2"/>
        <v>0</v>
      </c>
      <c r="G13" s="44">
        <f t="shared" si="2"/>
        <v>0</v>
      </c>
      <c r="H13" s="43">
        <f t="shared" si="2"/>
        <v>0</v>
      </c>
      <c r="I13" s="44">
        <f t="shared" si="2"/>
        <v>0</v>
      </c>
      <c r="J13" s="43">
        <f t="shared" si="2"/>
        <v>0</v>
      </c>
      <c r="K13" s="44">
        <f t="shared" si="2"/>
        <v>0</v>
      </c>
      <c r="L13" s="43">
        <f t="shared" si="2"/>
        <v>0</v>
      </c>
      <c r="M13" s="44">
        <f t="shared" si="2"/>
        <v>0</v>
      </c>
      <c r="N13" s="43">
        <f t="shared" si="2"/>
        <v>0</v>
      </c>
      <c r="O13" s="44">
        <f t="shared" si="2"/>
        <v>0</v>
      </c>
      <c r="P13" s="43">
        <f t="shared" si="2"/>
        <v>0</v>
      </c>
      <c r="Q13" s="44">
        <f t="shared" si="2"/>
        <v>0</v>
      </c>
      <c r="R13" s="43">
        <f t="shared" si="2"/>
        <v>0</v>
      </c>
      <c r="S13" s="44">
        <f t="shared" si="2"/>
        <v>0</v>
      </c>
      <c r="T13" s="43">
        <f t="shared" si="2"/>
        <v>0</v>
      </c>
      <c r="U13" s="44">
        <f t="shared" si="2"/>
        <v>0</v>
      </c>
      <c r="V13" s="43">
        <f t="shared" si="2"/>
        <v>0</v>
      </c>
      <c r="W13" s="44">
        <f t="shared" si="2"/>
        <v>0</v>
      </c>
      <c r="X13" s="43">
        <f t="shared" si="2"/>
        <v>0</v>
      </c>
      <c r="Y13" s="44">
        <f t="shared" si="2"/>
        <v>0</v>
      </c>
      <c r="Z13" s="45"/>
      <c r="AA13" s="43">
        <f>AA6+AA7+AA8+AA9+AA10+AA11</f>
        <v>0</v>
      </c>
      <c r="AB13" s="44">
        <f>AB6+AB7+AB8+AB9+AB10+AB11</f>
        <v>0</v>
      </c>
      <c r="AC13" s="43">
        <f>AC6+AC7+AC8+AC9+AC10+AC11</f>
        <v>0</v>
      </c>
      <c r="AD13" s="43"/>
      <c r="AE13" s="44"/>
      <c r="AF13" s="43"/>
      <c r="AG13" s="44"/>
      <c r="AH13" s="43">
        <f>$AC$2-AD6</f>
        <v>0</v>
      </c>
      <c r="AI13" s="46"/>
      <c r="AJ13" s="47"/>
    </row>
    <row r="14" spans="1:36" ht="18" customHeight="1">
      <c r="A14" s="76" t="s">
        <v>9</v>
      </c>
      <c r="B14" s="77"/>
      <c r="C14" s="22" t="s">
        <v>46</v>
      </c>
      <c r="D14" s="23"/>
      <c r="E14" s="24"/>
      <c r="F14" s="23"/>
      <c r="G14" s="24"/>
      <c r="H14" s="23"/>
      <c r="I14" s="24"/>
      <c r="J14" s="23"/>
      <c r="K14" s="24"/>
      <c r="L14" s="23"/>
      <c r="M14" s="24"/>
      <c r="N14" s="23"/>
      <c r="O14" s="24"/>
      <c r="P14" s="23"/>
      <c r="Q14" s="24"/>
      <c r="R14" s="23"/>
      <c r="S14" s="24"/>
      <c r="T14" s="23"/>
      <c r="U14" s="24"/>
      <c r="V14" s="23"/>
      <c r="W14" s="24"/>
      <c r="X14" s="23"/>
      <c r="Y14" s="24"/>
      <c r="Z14" s="25"/>
      <c r="AA14" s="23">
        <f t="shared" ref="AA14:AB19" si="3">D14+F14+H14+J14+L14+N14+P14+R14+T14+V14+X14</f>
        <v>0</v>
      </c>
      <c r="AB14" s="24">
        <f t="shared" si="3"/>
        <v>0</v>
      </c>
      <c r="AC14" s="23">
        <f t="shared" ref="AC14:AC19" si="4">AA14+AB14*2</f>
        <v>0</v>
      </c>
      <c r="AD14" s="23">
        <f>AD6+AC14+AC15+AC16+AC17+AC18+AC19-(D102)</f>
        <v>0</v>
      </c>
      <c r="AE14" s="24">
        <f>AE6+AC14+AC15+AC16+AC17+AC18-((D102)-(D99+E99*2))</f>
        <v>0</v>
      </c>
      <c r="AF14" s="26">
        <f>IF($AC$2&gt;0,AD14/$AC$2,0)</f>
        <v>0</v>
      </c>
      <c r="AG14" s="27">
        <f>IF($AC$2&gt;0,AE14/$AC$2,0)</f>
        <v>0</v>
      </c>
      <c r="AH14" s="23"/>
      <c r="AI14" s="28"/>
      <c r="AJ14" s="29"/>
    </row>
    <row r="15" spans="1:36" ht="18" customHeight="1">
      <c r="A15" s="78"/>
      <c r="B15" s="77"/>
      <c r="C15" s="22" t="s">
        <v>47</v>
      </c>
      <c r="D15" s="23"/>
      <c r="E15" s="24"/>
      <c r="F15" s="23"/>
      <c r="G15" s="24"/>
      <c r="H15" s="23"/>
      <c r="I15" s="24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3"/>
      <c r="U15" s="24"/>
      <c r="V15" s="23"/>
      <c r="W15" s="24"/>
      <c r="X15" s="23"/>
      <c r="Y15" s="24"/>
      <c r="Z15" s="25"/>
      <c r="AA15" s="23">
        <f t="shared" si="3"/>
        <v>0</v>
      </c>
      <c r="AB15" s="24">
        <f t="shared" si="3"/>
        <v>0</v>
      </c>
      <c r="AC15" s="23">
        <f t="shared" si="4"/>
        <v>0</v>
      </c>
      <c r="AD15" s="23"/>
      <c r="AE15" s="24"/>
      <c r="AF15" s="23"/>
      <c r="AG15" s="24"/>
      <c r="AH15" s="23"/>
      <c r="AI15" s="28"/>
      <c r="AJ15" s="29"/>
    </row>
    <row r="16" spans="1:36" ht="18" customHeight="1">
      <c r="A16" s="78"/>
      <c r="B16" s="77"/>
      <c r="C16" s="22" t="s">
        <v>48</v>
      </c>
      <c r="D16" s="23"/>
      <c r="E16" s="24"/>
      <c r="F16" s="23"/>
      <c r="G16" s="24"/>
      <c r="H16" s="23"/>
      <c r="I16" s="24"/>
      <c r="J16" s="23"/>
      <c r="K16" s="24"/>
      <c r="L16" s="23"/>
      <c r="M16" s="24"/>
      <c r="N16" s="23"/>
      <c r="O16" s="24"/>
      <c r="P16" s="23"/>
      <c r="Q16" s="24"/>
      <c r="R16" s="23"/>
      <c r="S16" s="24"/>
      <c r="T16" s="23"/>
      <c r="U16" s="24"/>
      <c r="V16" s="23"/>
      <c r="W16" s="24"/>
      <c r="X16" s="23"/>
      <c r="Y16" s="24"/>
      <c r="Z16" s="25"/>
      <c r="AA16" s="23">
        <f t="shared" si="3"/>
        <v>0</v>
      </c>
      <c r="AB16" s="24">
        <f t="shared" si="3"/>
        <v>0</v>
      </c>
      <c r="AC16" s="23">
        <f t="shared" si="4"/>
        <v>0</v>
      </c>
      <c r="AD16" s="23"/>
      <c r="AE16" s="24"/>
      <c r="AF16" s="23"/>
      <c r="AG16" s="24"/>
      <c r="AH16" s="23"/>
      <c r="AI16" s="28"/>
      <c r="AJ16" s="29"/>
    </row>
    <row r="17" spans="1:36" ht="18" customHeight="1">
      <c r="A17" s="78"/>
      <c r="B17" s="77"/>
      <c r="C17" s="22" t="s">
        <v>49</v>
      </c>
      <c r="D17" s="23"/>
      <c r="E17" s="24"/>
      <c r="F17" s="23"/>
      <c r="G17" s="24"/>
      <c r="H17" s="23"/>
      <c r="I17" s="24"/>
      <c r="J17" s="23"/>
      <c r="K17" s="24"/>
      <c r="L17" s="23"/>
      <c r="M17" s="24"/>
      <c r="N17" s="23"/>
      <c r="O17" s="24"/>
      <c r="P17" s="23"/>
      <c r="Q17" s="24"/>
      <c r="R17" s="23"/>
      <c r="S17" s="24"/>
      <c r="T17" s="23"/>
      <c r="U17" s="24"/>
      <c r="V17" s="23"/>
      <c r="W17" s="24"/>
      <c r="X17" s="23"/>
      <c r="Y17" s="24"/>
      <c r="Z17" s="25"/>
      <c r="AA17" s="23">
        <f t="shared" si="3"/>
        <v>0</v>
      </c>
      <c r="AB17" s="24">
        <f t="shared" si="3"/>
        <v>0</v>
      </c>
      <c r="AC17" s="23">
        <f t="shared" si="4"/>
        <v>0</v>
      </c>
      <c r="AD17" s="23"/>
      <c r="AE17" s="24"/>
      <c r="AF17" s="23"/>
      <c r="AG17" s="24"/>
      <c r="AH17" s="23"/>
      <c r="AI17" s="28"/>
      <c r="AJ17" s="29"/>
    </row>
    <row r="18" spans="1:36" ht="18" customHeight="1">
      <c r="A18" s="78"/>
      <c r="B18" s="77"/>
      <c r="C18" s="22" t="s">
        <v>50</v>
      </c>
      <c r="D18" s="23"/>
      <c r="E18" s="24"/>
      <c r="F18" s="23"/>
      <c r="G18" s="24"/>
      <c r="H18" s="23"/>
      <c r="I18" s="24"/>
      <c r="J18" s="23"/>
      <c r="K18" s="24"/>
      <c r="L18" s="23"/>
      <c r="M18" s="24"/>
      <c r="N18" s="23"/>
      <c r="O18" s="24"/>
      <c r="P18" s="23"/>
      <c r="Q18" s="24"/>
      <c r="R18" s="23"/>
      <c r="S18" s="24"/>
      <c r="T18" s="23"/>
      <c r="U18" s="24"/>
      <c r="V18" s="23"/>
      <c r="W18" s="24"/>
      <c r="X18" s="23"/>
      <c r="Y18" s="24"/>
      <c r="Z18" s="25"/>
      <c r="AA18" s="23">
        <f t="shared" si="3"/>
        <v>0</v>
      </c>
      <c r="AB18" s="24">
        <f t="shared" si="3"/>
        <v>0</v>
      </c>
      <c r="AC18" s="23">
        <f t="shared" si="4"/>
        <v>0</v>
      </c>
      <c r="AD18" s="23"/>
      <c r="AE18" s="24"/>
      <c r="AF18" s="23"/>
      <c r="AG18" s="24"/>
      <c r="AH18" s="23"/>
      <c r="AI18" s="28"/>
      <c r="AJ18" s="29">
        <f>AJ10-(AA18+AB18)+(D98+E98)</f>
        <v>0</v>
      </c>
    </row>
    <row r="19" spans="1:36" ht="18" customHeight="1">
      <c r="A19" s="20" t="s">
        <v>52</v>
      </c>
      <c r="B19" s="31" t="s">
        <v>53</v>
      </c>
      <c r="C19" s="22" t="s">
        <v>51</v>
      </c>
      <c r="D19" s="23"/>
      <c r="E19" s="24"/>
      <c r="F19" s="23"/>
      <c r="G19" s="24"/>
      <c r="H19" s="23"/>
      <c r="I19" s="24"/>
      <c r="J19" s="23"/>
      <c r="K19" s="24"/>
      <c r="L19" s="23"/>
      <c r="M19" s="24"/>
      <c r="N19" s="23"/>
      <c r="O19" s="24"/>
      <c r="P19" s="23"/>
      <c r="Q19" s="24"/>
      <c r="R19" s="23"/>
      <c r="S19" s="24"/>
      <c r="T19" s="23"/>
      <c r="U19" s="24"/>
      <c r="V19" s="23"/>
      <c r="W19" s="24"/>
      <c r="X19" s="23"/>
      <c r="Y19" s="24"/>
      <c r="Z19" s="25"/>
      <c r="AA19" s="23">
        <f t="shared" si="3"/>
        <v>0</v>
      </c>
      <c r="AB19" s="24">
        <f t="shared" si="3"/>
        <v>0</v>
      </c>
      <c r="AC19" s="23">
        <f t="shared" si="4"/>
        <v>0</v>
      </c>
      <c r="AD19" s="23"/>
      <c r="AE19" s="24"/>
      <c r="AF19" s="23"/>
      <c r="AG19" s="24"/>
      <c r="AH19" s="23"/>
      <c r="AI19" s="28"/>
      <c r="AJ19" s="29"/>
    </row>
    <row r="20" spans="1:36" ht="18" customHeight="1">
      <c r="A20" s="32" t="s">
        <v>54</v>
      </c>
      <c r="B20" s="33" t="s">
        <v>26</v>
      </c>
      <c r="C20" s="34" t="s">
        <v>44</v>
      </c>
      <c r="D20" s="74"/>
      <c r="E20" s="73"/>
      <c r="F20" s="74"/>
      <c r="G20" s="73"/>
      <c r="H20" s="74"/>
      <c r="I20" s="73"/>
      <c r="J20" s="74"/>
      <c r="K20" s="73"/>
      <c r="L20" s="74"/>
      <c r="M20" s="73"/>
      <c r="N20" s="74"/>
      <c r="O20" s="73"/>
      <c r="P20" s="74"/>
      <c r="Q20" s="73"/>
      <c r="R20" s="74"/>
      <c r="S20" s="73"/>
      <c r="T20" s="74"/>
      <c r="U20" s="73"/>
      <c r="V20" s="74"/>
      <c r="W20" s="73"/>
      <c r="X20" s="74"/>
      <c r="Y20" s="73"/>
      <c r="Z20" s="36"/>
      <c r="AA20" s="74">
        <f>D20+F20+H20+J20+L20+N20+P20+R20+T20+V20+X20</f>
        <v>0</v>
      </c>
      <c r="AB20" s="73"/>
      <c r="AC20" s="35"/>
      <c r="AD20" s="35">
        <f>AD12+AA20-(D103)</f>
        <v>0</v>
      </c>
      <c r="AE20" s="37">
        <f>AD20-(AD14-AE14)*2</f>
        <v>0</v>
      </c>
      <c r="AF20" s="38">
        <f>IF($AF$2&gt;0,AD20/$AF$2,0)</f>
        <v>0</v>
      </c>
      <c r="AG20" s="39">
        <f>IF($AF$2&gt;0,AE20/$AF$2,0)</f>
        <v>0</v>
      </c>
      <c r="AH20" s="35"/>
      <c r="AI20" s="40">
        <f>$AF$2-AD20</f>
        <v>0</v>
      </c>
      <c r="AJ20" s="41"/>
    </row>
    <row r="21" spans="1:36" ht="18" customHeight="1">
      <c r="A21" s="87"/>
      <c r="B21" s="88"/>
      <c r="C21" s="42" t="s">
        <v>20</v>
      </c>
      <c r="D21" s="43">
        <f t="shared" ref="D21:Y21" si="5">D14+D15+D16+D17+D18+D19</f>
        <v>0</v>
      </c>
      <c r="E21" s="44">
        <f t="shared" si="5"/>
        <v>0</v>
      </c>
      <c r="F21" s="43">
        <f t="shared" si="5"/>
        <v>0</v>
      </c>
      <c r="G21" s="44">
        <f t="shared" si="5"/>
        <v>0</v>
      </c>
      <c r="H21" s="43">
        <f t="shared" si="5"/>
        <v>0</v>
      </c>
      <c r="I21" s="44">
        <f t="shared" si="5"/>
        <v>0</v>
      </c>
      <c r="J21" s="43">
        <f t="shared" si="5"/>
        <v>0</v>
      </c>
      <c r="K21" s="44">
        <f t="shared" si="5"/>
        <v>0</v>
      </c>
      <c r="L21" s="43">
        <f t="shared" si="5"/>
        <v>0</v>
      </c>
      <c r="M21" s="44">
        <f t="shared" si="5"/>
        <v>0</v>
      </c>
      <c r="N21" s="43">
        <f t="shared" si="5"/>
        <v>0</v>
      </c>
      <c r="O21" s="44">
        <f t="shared" si="5"/>
        <v>0</v>
      </c>
      <c r="P21" s="43">
        <f t="shared" si="5"/>
        <v>0</v>
      </c>
      <c r="Q21" s="44">
        <f t="shared" si="5"/>
        <v>0</v>
      </c>
      <c r="R21" s="43">
        <f t="shared" si="5"/>
        <v>0</v>
      </c>
      <c r="S21" s="44">
        <f t="shared" si="5"/>
        <v>0</v>
      </c>
      <c r="T21" s="43">
        <f t="shared" si="5"/>
        <v>0</v>
      </c>
      <c r="U21" s="44">
        <f t="shared" si="5"/>
        <v>0</v>
      </c>
      <c r="V21" s="43">
        <f t="shared" si="5"/>
        <v>0</v>
      </c>
      <c r="W21" s="44">
        <f t="shared" si="5"/>
        <v>0</v>
      </c>
      <c r="X21" s="43">
        <f t="shared" si="5"/>
        <v>0</v>
      </c>
      <c r="Y21" s="44">
        <f t="shared" si="5"/>
        <v>0</v>
      </c>
      <c r="Z21" s="45"/>
      <c r="AA21" s="43">
        <f>AA14+AA15+AA16+AA17+AA18+AA19</f>
        <v>0</v>
      </c>
      <c r="AB21" s="44">
        <f>AB14+AB15+AB16+AB17+AB18+AB19</f>
        <v>0</v>
      </c>
      <c r="AC21" s="43">
        <f>AC14+AC15+AC16+AC17+AC18+AC19</f>
        <v>0</v>
      </c>
      <c r="AD21" s="43"/>
      <c r="AE21" s="44"/>
      <c r="AF21" s="43"/>
      <c r="AG21" s="44"/>
      <c r="AH21" s="43">
        <f>$AC$2-AD14</f>
        <v>0</v>
      </c>
      <c r="AI21" s="46"/>
      <c r="AJ21" s="47"/>
    </row>
    <row r="22" spans="1:36" ht="18" customHeight="1">
      <c r="A22" s="76" t="s">
        <v>10</v>
      </c>
      <c r="B22" s="77"/>
      <c r="C22" s="22" t="s">
        <v>46</v>
      </c>
      <c r="D22" s="23"/>
      <c r="E22" s="24"/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3"/>
      <c r="U22" s="24"/>
      <c r="V22" s="23"/>
      <c r="W22" s="24"/>
      <c r="X22" s="23"/>
      <c r="Y22" s="24"/>
      <c r="Z22" s="25"/>
      <c r="AA22" s="23">
        <f t="shared" ref="AA22:AB27" si="6">D22+F22+H22+J22+L22+N22+P22+R22+T22+V22+X22</f>
        <v>0</v>
      </c>
      <c r="AB22" s="24">
        <f t="shared" si="6"/>
        <v>0</v>
      </c>
      <c r="AC22" s="23">
        <f t="shared" ref="AC22:AC27" si="7">AA22+AB22*2</f>
        <v>0</v>
      </c>
      <c r="AD22" s="23">
        <f>AD14+AC22+AC23+AC24+AC25+AC26+AC27-(F102)</f>
        <v>0</v>
      </c>
      <c r="AE22" s="24">
        <f>AE14+AC22+AC23+AC24+AC25+AC26-((F102)-(F99+G99*2))</f>
        <v>0</v>
      </c>
      <c r="AF22" s="26">
        <f>IF($AC$2&gt;0,AD22/$AC$2,0)</f>
        <v>0</v>
      </c>
      <c r="AG22" s="27">
        <f>IF($AC$2&gt;0,AE22/$AC$2,0)</f>
        <v>0</v>
      </c>
      <c r="AH22" s="23"/>
      <c r="AI22" s="28"/>
      <c r="AJ22" s="29"/>
    </row>
    <row r="23" spans="1:36" ht="18" customHeight="1">
      <c r="A23" s="78"/>
      <c r="B23" s="77"/>
      <c r="C23" s="22" t="s">
        <v>47</v>
      </c>
      <c r="D23" s="23"/>
      <c r="E23" s="24"/>
      <c r="F23" s="23"/>
      <c r="G23" s="24"/>
      <c r="H23" s="23"/>
      <c r="I23" s="24"/>
      <c r="J23" s="23"/>
      <c r="K23" s="24"/>
      <c r="L23" s="23"/>
      <c r="M23" s="24"/>
      <c r="N23" s="23"/>
      <c r="O23" s="24"/>
      <c r="P23" s="23"/>
      <c r="Q23" s="24"/>
      <c r="R23" s="23"/>
      <c r="S23" s="24"/>
      <c r="T23" s="23"/>
      <c r="U23" s="24"/>
      <c r="V23" s="23"/>
      <c r="W23" s="24"/>
      <c r="X23" s="23"/>
      <c r="Y23" s="24"/>
      <c r="Z23" s="25"/>
      <c r="AA23" s="23">
        <f t="shared" si="6"/>
        <v>0</v>
      </c>
      <c r="AB23" s="24">
        <f t="shared" si="6"/>
        <v>0</v>
      </c>
      <c r="AC23" s="23">
        <f t="shared" si="7"/>
        <v>0</v>
      </c>
      <c r="AD23" s="23"/>
      <c r="AE23" s="24"/>
      <c r="AF23" s="23"/>
      <c r="AG23" s="24"/>
      <c r="AH23" s="23"/>
      <c r="AI23" s="28"/>
      <c r="AJ23" s="29"/>
    </row>
    <row r="24" spans="1:36" ht="18" customHeight="1">
      <c r="A24" s="78"/>
      <c r="B24" s="77"/>
      <c r="C24" s="22" t="s">
        <v>48</v>
      </c>
      <c r="D24" s="23"/>
      <c r="E24" s="24"/>
      <c r="F24" s="23"/>
      <c r="G24" s="24"/>
      <c r="H24" s="23"/>
      <c r="I24" s="24"/>
      <c r="J24" s="23"/>
      <c r="K24" s="24"/>
      <c r="L24" s="23"/>
      <c r="M24" s="24"/>
      <c r="N24" s="23"/>
      <c r="O24" s="24"/>
      <c r="P24" s="23"/>
      <c r="Q24" s="24"/>
      <c r="R24" s="23"/>
      <c r="S24" s="24"/>
      <c r="T24" s="23"/>
      <c r="U24" s="24"/>
      <c r="V24" s="23"/>
      <c r="W24" s="24"/>
      <c r="X24" s="23"/>
      <c r="Y24" s="24"/>
      <c r="Z24" s="25"/>
      <c r="AA24" s="23">
        <f t="shared" si="6"/>
        <v>0</v>
      </c>
      <c r="AB24" s="24">
        <f t="shared" si="6"/>
        <v>0</v>
      </c>
      <c r="AC24" s="23">
        <f t="shared" si="7"/>
        <v>0</v>
      </c>
      <c r="AD24" s="23"/>
      <c r="AE24" s="24"/>
      <c r="AF24" s="23"/>
      <c r="AG24" s="24"/>
      <c r="AH24" s="23"/>
      <c r="AI24" s="28"/>
      <c r="AJ24" s="29"/>
    </row>
    <row r="25" spans="1:36" ht="18" customHeight="1">
      <c r="A25" s="78"/>
      <c r="B25" s="77"/>
      <c r="C25" s="22" t="s">
        <v>49</v>
      </c>
      <c r="D25" s="23"/>
      <c r="E25" s="24"/>
      <c r="F25" s="23"/>
      <c r="G25" s="24"/>
      <c r="H25" s="23"/>
      <c r="I25" s="24"/>
      <c r="J25" s="23"/>
      <c r="K25" s="24"/>
      <c r="L25" s="23"/>
      <c r="M25" s="24"/>
      <c r="N25" s="23"/>
      <c r="O25" s="24"/>
      <c r="P25" s="23"/>
      <c r="Q25" s="24"/>
      <c r="R25" s="23"/>
      <c r="S25" s="24"/>
      <c r="T25" s="23"/>
      <c r="U25" s="24"/>
      <c r="V25" s="23"/>
      <c r="W25" s="24"/>
      <c r="X25" s="23"/>
      <c r="Y25" s="24"/>
      <c r="Z25" s="25"/>
      <c r="AA25" s="23">
        <f t="shared" si="6"/>
        <v>0</v>
      </c>
      <c r="AB25" s="24">
        <f t="shared" si="6"/>
        <v>0</v>
      </c>
      <c r="AC25" s="23">
        <f t="shared" si="7"/>
        <v>0</v>
      </c>
      <c r="AD25" s="23"/>
      <c r="AE25" s="24"/>
      <c r="AF25" s="23"/>
      <c r="AG25" s="24"/>
      <c r="AH25" s="23"/>
      <c r="AI25" s="28"/>
      <c r="AJ25" s="29"/>
    </row>
    <row r="26" spans="1:36" ht="18" customHeight="1">
      <c r="A26" s="78"/>
      <c r="B26" s="77"/>
      <c r="C26" s="22" t="s">
        <v>50</v>
      </c>
      <c r="D26" s="23"/>
      <c r="E26" s="24"/>
      <c r="F26" s="23"/>
      <c r="G26" s="24"/>
      <c r="H26" s="23"/>
      <c r="I26" s="24"/>
      <c r="J26" s="23"/>
      <c r="K26" s="24"/>
      <c r="L26" s="23"/>
      <c r="M26" s="24"/>
      <c r="N26" s="23"/>
      <c r="O26" s="24"/>
      <c r="P26" s="23"/>
      <c r="Q26" s="24"/>
      <c r="R26" s="23"/>
      <c r="S26" s="24"/>
      <c r="T26" s="23"/>
      <c r="U26" s="24"/>
      <c r="V26" s="23"/>
      <c r="W26" s="24"/>
      <c r="X26" s="23"/>
      <c r="Y26" s="24"/>
      <c r="Z26" s="25"/>
      <c r="AA26" s="23">
        <f t="shared" si="6"/>
        <v>0</v>
      </c>
      <c r="AB26" s="24">
        <f t="shared" si="6"/>
        <v>0</v>
      </c>
      <c r="AC26" s="23">
        <f t="shared" si="7"/>
        <v>0</v>
      </c>
      <c r="AD26" s="23"/>
      <c r="AE26" s="24"/>
      <c r="AF26" s="23"/>
      <c r="AG26" s="24"/>
      <c r="AH26" s="23"/>
      <c r="AI26" s="28"/>
      <c r="AJ26" s="29">
        <f>AJ18-(AA26+AB26)+(F98+G98)</f>
        <v>0</v>
      </c>
    </row>
    <row r="27" spans="1:36" ht="18" customHeight="1">
      <c r="A27" s="20" t="s">
        <v>52</v>
      </c>
      <c r="B27" s="31" t="s">
        <v>55</v>
      </c>
      <c r="C27" s="22" t="s">
        <v>51</v>
      </c>
      <c r="D27" s="23"/>
      <c r="E27" s="24"/>
      <c r="F27" s="23"/>
      <c r="G27" s="24"/>
      <c r="H27" s="23"/>
      <c r="I27" s="24"/>
      <c r="J27" s="23"/>
      <c r="K27" s="24"/>
      <c r="L27" s="23"/>
      <c r="M27" s="24"/>
      <c r="N27" s="23"/>
      <c r="O27" s="24"/>
      <c r="P27" s="23"/>
      <c r="Q27" s="24"/>
      <c r="R27" s="23"/>
      <c r="S27" s="24"/>
      <c r="T27" s="23"/>
      <c r="U27" s="24"/>
      <c r="V27" s="23"/>
      <c r="W27" s="24"/>
      <c r="X27" s="23"/>
      <c r="Y27" s="24"/>
      <c r="Z27" s="25"/>
      <c r="AA27" s="23">
        <f t="shared" si="6"/>
        <v>0</v>
      </c>
      <c r="AB27" s="24">
        <f t="shared" si="6"/>
        <v>0</v>
      </c>
      <c r="AC27" s="23">
        <f t="shared" si="7"/>
        <v>0</v>
      </c>
      <c r="AD27" s="23"/>
      <c r="AE27" s="24"/>
      <c r="AF27" s="23"/>
      <c r="AG27" s="24"/>
      <c r="AH27" s="23"/>
      <c r="AI27" s="28"/>
      <c r="AJ27" s="29"/>
    </row>
    <row r="28" spans="1:36" ht="18" customHeight="1">
      <c r="A28" s="32" t="s">
        <v>54</v>
      </c>
      <c r="B28" s="33" t="s">
        <v>27</v>
      </c>
      <c r="C28" s="34" t="s">
        <v>44</v>
      </c>
      <c r="D28" s="74"/>
      <c r="E28" s="73"/>
      <c r="F28" s="74"/>
      <c r="G28" s="73"/>
      <c r="H28" s="74"/>
      <c r="I28" s="73"/>
      <c r="J28" s="74"/>
      <c r="K28" s="73"/>
      <c r="L28" s="74"/>
      <c r="M28" s="73"/>
      <c r="N28" s="74"/>
      <c r="O28" s="73"/>
      <c r="P28" s="74"/>
      <c r="Q28" s="73"/>
      <c r="R28" s="74"/>
      <c r="S28" s="73"/>
      <c r="T28" s="74"/>
      <c r="U28" s="73"/>
      <c r="V28" s="74"/>
      <c r="W28" s="73"/>
      <c r="X28" s="74"/>
      <c r="Y28" s="73"/>
      <c r="Z28" s="36"/>
      <c r="AA28" s="74">
        <f>D28+F28+H28+J28+L28+N28+P28+R28+T28+V28+X28</f>
        <v>0</v>
      </c>
      <c r="AB28" s="73"/>
      <c r="AC28" s="35"/>
      <c r="AD28" s="35">
        <f>AD20+AA28-(F103)</f>
        <v>0</v>
      </c>
      <c r="AE28" s="37">
        <f>AD28-(AD22-AE22)*2</f>
        <v>0</v>
      </c>
      <c r="AF28" s="38">
        <f>IF($AF$2&gt;0,AD28/$AF$2,0)</f>
        <v>0</v>
      </c>
      <c r="AG28" s="39">
        <f>IF($AF$2&gt;0,AE28/$AF$2,0)</f>
        <v>0</v>
      </c>
      <c r="AH28" s="35"/>
      <c r="AI28" s="40">
        <f>$AF$2-AD28</f>
        <v>0</v>
      </c>
      <c r="AJ28" s="41"/>
    </row>
    <row r="29" spans="1:36" ht="18" customHeight="1">
      <c r="A29" s="87"/>
      <c r="B29" s="88"/>
      <c r="C29" s="42" t="s">
        <v>20</v>
      </c>
      <c r="D29" s="43">
        <f t="shared" ref="D29:Y29" si="8">D22+D23+D24+D25+D26+D27</f>
        <v>0</v>
      </c>
      <c r="E29" s="44">
        <f t="shared" si="8"/>
        <v>0</v>
      </c>
      <c r="F29" s="43">
        <f t="shared" si="8"/>
        <v>0</v>
      </c>
      <c r="G29" s="44">
        <f t="shared" si="8"/>
        <v>0</v>
      </c>
      <c r="H29" s="43">
        <f t="shared" si="8"/>
        <v>0</v>
      </c>
      <c r="I29" s="44">
        <f t="shared" si="8"/>
        <v>0</v>
      </c>
      <c r="J29" s="43">
        <f t="shared" si="8"/>
        <v>0</v>
      </c>
      <c r="K29" s="44">
        <f t="shared" si="8"/>
        <v>0</v>
      </c>
      <c r="L29" s="43">
        <f t="shared" si="8"/>
        <v>0</v>
      </c>
      <c r="M29" s="44">
        <f t="shared" si="8"/>
        <v>0</v>
      </c>
      <c r="N29" s="43">
        <f t="shared" si="8"/>
        <v>0</v>
      </c>
      <c r="O29" s="44">
        <f t="shared" si="8"/>
        <v>0</v>
      </c>
      <c r="P29" s="43">
        <f t="shared" si="8"/>
        <v>0</v>
      </c>
      <c r="Q29" s="44">
        <f t="shared" si="8"/>
        <v>0</v>
      </c>
      <c r="R29" s="43">
        <f t="shared" si="8"/>
        <v>0</v>
      </c>
      <c r="S29" s="44">
        <f t="shared" si="8"/>
        <v>0</v>
      </c>
      <c r="T29" s="43">
        <f t="shared" si="8"/>
        <v>0</v>
      </c>
      <c r="U29" s="44">
        <f t="shared" si="8"/>
        <v>0</v>
      </c>
      <c r="V29" s="43">
        <f t="shared" si="8"/>
        <v>0</v>
      </c>
      <c r="W29" s="44">
        <f t="shared" si="8"/>
        <v>0</v>
      </c>
      <c r="X29" s="43">
        <f t="shared" si="8"/>
        <v>0</v>
      </c>
      <c r="Y29" s="44">
        <f t="shared" si="8"/>
        <v>0</v>
      </c>
      <c r="Z29" s="45"/>
      <c r="AA29" s="43">
        <f>AA22+AA23+AA24+AA25+AA26+AA27</f>
        <v>0</v>
      </c>
      <c r="AB29" s="44">
        <f>AB22+AB23+AB24+AB25+AB26+AB27</f>
        <v>0</v>
      </c>
      <c r="AC29" s="43">
        <f>AC22+AC23+AC24+AC25+AC26+AC27</f>
        <v>0</v>
      </c>
      <c r="AD29" s="43"/>
      <c r="AE29" s="44"/>
      <c r="AF29" s="43"/>
      <c r="AG29" s="44"/>
      <c r="AH29" s="43">
        <f>$AC$2-AD22</f>
        <v>0</v>
      </c>
      <c r="AI29" s="46"/>
      <c r="AJ29" s="47"/>
    </row>
    <row r="30" spans="1:36" ht="18" customHeight="1">
      <c r="A30" s="76" t="s">
        <v>11</v>
      </c>
      <c r="B30" s="77"/>
      <c r="C30" s="22" t="s">
        <v>46</v>
      </c>
      <c r="D30" s="23"/>
      <c r="E30" s="24"/>
      <c r="F30" s="23"/>
      <c r="G30" s="24"/>
      <c r="H30" s="23"/>
      <c r="I30" s="24"/>
      <c r="J30" s="23"/>
      <c r="K30" s="24"/>
      <c r="L30" s="23"/>
      <c r="M30" s="24"/>
      <c r="N30" s="23"/>
      <c r="O30" s="24"/>
      <c r="P30" s="23"/>
      <c r="Q30" s="24"/>
      <c r="R30" s="23"/>
      <c r="S30" s="24"/>
      <c r="T30" s="23"/>
      <c r="U30" s="24"/>
      <c r="V30" s="23"/>
      <c r="W30" s="24"/>
      <c r="X30" s="23"/>
      <c r="Y30" s="24"/>
      <c r="Z30" s="25"/>
      <c r="AA30" s="23">
        <f t="shared" ref="AA30:AB35" si="9">D30+F30+H30+J30+L30+N30+P30+R30+T30+V30+X30</f>
        <v>0</v>
      </c>
      <c r="AB30" s="24">
        <f t="shared" si="9"/>
        <v>0</v>
      </c>
      <c r="AC30" s="23">
        <f t="shared" ref="AC30:AC35" si="10">AA30+AB30*2</f>
        <v>0</v>
      </c>
      <c r="AD30" s="23">
        <f>AD22+AC30+AC31+AC32+AC33+AC34+AC35-(H102)</f>
        <v>0</v>
      </c>
      <c r="AE30" s="24">
        <f>AE22+AC30+AC31+AC32+AC33+AC34-((H102)-(H99+I99*2))</f>
        <v>0</v>
      </c>
      <c r="AF30" s="26">
        <f>IF($AC$2&gt;0,AD30/$AC$2,0)</f>
        <v>0</v>
      </c>
      <c r="AG30" s="27">
        <f>IF($AC$2&gt;0,AE30/$AC$2,0)</f>
        <v>0</v>
      </c>
      <c r="AH30" s="23"/>
      <c r="AI30" s="28"/>
      <c r="AJ30" s="29"/>
    </row>
    <row r="31" spans="1:36" ht="18" customHeight="1">
      <c r="A31" s="78"/>
      <c r="B31" s="77"/>
      <c r="C31" s="22" t="s">
        <v>47</v>
      </c>
      <c r="D31" s="23"/>
      <c r="E31" s="24"/>
      <c r="F31" s="23"/>
      <c r="G31" s="24"/>
      <c r="H31" s="23"/>
      <c r="I31" s="24"/>
      <c r="J31" s="23"/>
      <c r="K31" s="24"/>
      <c r="L31" s="23"/>
      <c r="M31" s="24"/>
      <c r="N31" s="23"/>
      <c r="O31" s="24"/>
      <c r="P31" s="23"/>
      <c r="Q31" s="24"/>
      <c r="R31" s="23"/>
      <c r="S31" s="24"/>
      <c r="T31" s="23"/>
      <c r="U31" s="24"/>
      <c r="V31" s="23"/>
      <c r="W31" s="24"/>
      <c r="X31" s="23"/>
      <c r="Y31" s="24"/>
      <c r="Z31" s="25"/>
      <c r="AA31" s="23">
        <f t="shared" si="9"/>
        <v>0</v>
      </c>
      <c r="AB31" s="24">
        <f t="shared" si="9"/>
        <v>0</v>
      </c>
      <c r="AC31" s="23">
        <f t="shared" si="10"/>
        <v>0</v>
      </c>
      <c r="AD31" s="23"/>
      <c r="AE31" s="24"/>
      <c r="AF31" s="23"/>
      <c r="AG31" s="24"/>
      <c r="AH31" s="23"/>
      <c r="AI31" s="28"/>
      <c r="AJ31" s="29"/>
    </row>
    <row r="32" spans="1:36" ht="18" customHeight="1">
      <c r="A32" s="78"/>
      <c r="B32" s="77"/>
      <c r="C32" s="22" t="s">
        <v>48</v>
      </c>
      <c r="D32" s="23"/>
      <c r="E32" s="24"/>
      <c r="F32" s="23"/>
      <c r="G32" s="24"/>
      <c r="H32" s="23"/>
      <c r="I32" s="24"/>
      <c r="J32" s="23"/>
      <c r="K32" s="24"/>
      <c r="L32" s="23"/>
      <c r="M32" s="24"/>
      <c r="N32" s="23"/>
      <c r="O32" s="24"/>
      <c r="P32" s="23"/>
      <c r="Q32" s="24"/>
      <c r="R32" s="23"/>
      <c r="S32" s="24"/>
      <c r="T32" s="23"/>
      <c r="U32" s="24"/>
      <c r="V32" s="23"/>
      <c r="W32" s="24"/>
      <c r="X32" s="23"/>
      <c r="Y32" s="24"/>
      <c r="Z32" s="25"/>
      <c r="AA32" s="23">
        <f t="shared" si="9"/>
        <v>0</v>
      </c>
      <c r="AB32" s="24">
        <f t="shared" si="9"/>
        <v>0</v>
      </c>
      <c r="AC32" s="23">
        <f t="shared" si="10"/>
        <v>0</v>
      </c>
      <c r="AD32" s="23"/>
      <c r="AE32" s="24"/>
      <c r="AF32" s="23"/>
      <c r="AG32" s="24"/>
      <c r="AH32" s="23"/>
      <c r="AI32" s="28"/>
      <c r="AJ32" s="29"/>
    </row>
    <row r="33" spans="1:36" ht="18" customHeight="1">
      <c r="A33" s="78"/>
      <c r="B33" s="77"/>
      <c r="C33" s="22" t="s">
        <v>49</v>
      </c>
      <c r="D33" s="23"/>
      <c r="E33" s="24"/>
      <c r="F33" s="23"/>
      <c r="G33" s="24"/>
      <c r="H33" s="23"/>
      <c r="I33" s="24"/>
      <c r="J33" s="23"/>
      <c r="K33" s="24"/>
      <c r="L33" s="23"/>
      <c r="M33" s="24"/>
      <c r="N33" s="23"/>
      <c r="O33" s="24"/>
      <c r="P33" s="23"/>
      <c r="Q33" s="24"/>
      <c r="R33" s="23"/>
      <c r="S33" s="24"/>
      <c r="T33" s="23"/>
      <c r="U33" s="24"/>
      <c r="V33" s="23"/>
      <c r="W33" s="24"/>
      <c r="X33" s="23"/>
      <c r="Y33" s="24"/>
      <c r="Z33" s="25"/>
      <c r="AA33" s="23">
        <f t="shared" si="9"/>
        <v>0</v>
      </c>
      <c r="AB33" s="24">
        <f t="shared" si="9"/>
        <v>0</v>
      </c>
      <c r="AC33" s="23">
        <f t="shared" si="10"/>
        <v>0</v>
      </c>
      <c r="AD33" s="23"/>
      <c r="AE33" s="24"/>
      <c r="AF33" s="23"/>
      <c r="AG33" s="24"/>
      <c r="AH33" s="23"/>
      <c r="AI33" s="28"/>
      <c r="AJ33" s="29"/>
    </row>
    <row r="34" spans="1:36" ht="18" customHeight="1">
      <c r="A34" s="78"/>
      <c r="B34" s="77"/>
      <c r="C34" s="22" t="s">
        <v>50</v>
      </c>
      <c r="D34" s="23"/>
      <c r="E34" s="24"/>
      <c r="F34" s="23"/>
      <c r="G34" s="24"/>
      <c r="H34" s="23"/>
      <c r="I34" s="24"/>
      <c r="J34" s="23"/>
      <c r="K34" s="24"/>
      <c r="L34" s="23"/>
      <c r="M34" s="24"/>
      <c r="N34" s="23"/>
      <c r="O34" s="24"/>
      <c r="P34" s="23"/>
      <c r="Q34" s="24"/>
      <c r="R34" s="23"/>
      <c r="S34" s="24"/>
      <c r="T34" s="23"/>
      <c r="U34" s="24"/>
      <c r="V34" s="23"/>
      <c r="W34" s="24"/>
      <c r="X34" s="23"/>
      <c r="Y34" s="24"/>
      <c r="Z34" s="25"/>
      <c r="AA34" s="23">
        <f t="shared" si="9"/>
        <v>0</v>
      </c>
      <c r="AB34" s="24">
        <f t="shared" si="9"/>
        <v>0</v>
      </c>
      <c r="AC34" s="23">
        <f t="shared" si="10"/>
        <v>0</v>
      </c>
      <c r="AD34" s="23"/>
      <c r="AE34" s="24"/>
      <c r="AF34" s="23"/>
      <c r="AG34" s="24"/>
      <c r="AH34" s="23"/>
      <c r="AI34" s="28"/>
      <c r="AJ34" s="29">
        <f>AJ26-(AA34+AB34)+(H98+I98)</f>
        <v>0</v>
      </c>
    </row>
    <row r="35" spans="1:36" ht="18" customHeight="1">
      <c r="A35" s="20" t="s">
        <v>52</v>
      </c>
      <c r="B35" s="31" t="s">
        <v>28</v>
      </c>
      <c r="C35" s="22" t="s">
        <v>51</v>
      </c>
      <c r="D35" s="23"/>
      <c r="E35" s="24"/>
      <c r="F35" s="23"/>
      <c r="G35" s="24"/>
      <c r="H35" s="23"/>
      <c r="I35" s="24"/>
      <c r="J35" s="23"/>
      <c r="K35" s="24"/>
      <c r="L35" s="23"/>
      <c r="M35" s="24"/>
      <c r="N35" s="23"/>
      <c r="O35" s="24"/>
      <c r="P35" s="23"/>
      <c r="Q35" s="24"/>
      <c r="R35" s="23"/>
      <c r="S35" s="24"/>
      <c r="T35" s="23"/>
      <c r="U35" s="24"/>
      <c r="V35" s="23"/>
      <c r="W35" s="24"/>
      <c r="X35" s="23"/>
      <c r="Y35" s="24"/>
      <c r="Z35" s="25"/>
      <c r="AA35" s="23">
        <f t="shared" si="9"/>
        <v>0</v>
      </c>
      <c r="AB35" s="24">
        <f t="shared" si="9"/>
        <v>0</v>
      </c>
      <c r="AC35" s="23">
        <f t="shared" si="10"/>
        <v>0</v>
      </c>
      <c r="AD35" s="23"/>
      <c r="AE35" s="24"/>
      <c r="AF35" s="23"/>
      <c r="AG35" s="24"/>
      <c r="AH35" s="23"/>
      <c r="AI35" s="28"/>
      <c r="AJ35" s="29"/>
    </row>
    <row r="36" spans="1:36" ht="18" customHeight="1">
      <c r="A36" s="32" t="s">
        <v>54</v>
      </c>
      <c r="B36" s="33" t="s">
        <v>28</v>
      </c>
      <c r="C36" s="34" t="s">
        <v>44</v>
      </c>
      <c r="D36" s="74"/>
      <c r="E36" s="73"/>
      <c r="F36" s="74"/>
      <c r="G36" s="73"/>
      <c r="H36" s="74"/>
      <c r="I36" s="73"/>
      <c r="J36" s="74"/>
      <c r="K36" s="73"/>
      <c r="L36" s="74"/>
      <c r="M36" s="73"/>
      <c r="N36" s="74"/>
      <c r="O36" s="73"/>
      <c r="P36" s="74"/>
      <c r="Q36" s="73"/>
      <c r="R36" s="74"/>
      <c r="S36" s="73"/>
      <c r="T36" s="74"/>
      <c r="U36" s="73"/>
      <c r="V36" s="74"/>
      <c r="W36" s="73"/>
      <c r="X36" s="74"/>
      <c r="Y36" s="73"/>
      <c r="Z36" s="36"/>
      <c r="AA36" s="74">
        <f>D36+F36+H36+J36+L36+N36+P36+R36+T36+V36+X36</f>
        <v>0</v>
      </c>
      <c r="AB36" s="73"/>
      <c r="AC36" s="35"/>
      <c r="AD36" s="35">
        <f>AD28+AA36-(H103)</f>
        <v>0</v>
      </c>
      <c r="AE36" s="37">
        <f>AD36-(AD30-AE30)*2</f>
        <v>0</v>
      </c>
      <c r="AF36" s="38">
        <f>IF($AF$2&gt;0,AD36/$AF$2,0)</f>
        <v>0</v>
      </c>
      <c r="AG36" s="39">
        <f>IF($AF$2&gt;0,AE36/$AF$2,0)</f>
        <v>0</v>
      </c>
      <c r="AH36" s="35"/>
      <c r="AI36" s="40">
        <f>$AF$2-AD36</f>
        <v>0</v>
      </c>
      <c r="AJ36" s="41"/>
    </row>
    <row r="37" spans="1:36" ht="18" customHeight="1">
      <c r="A37" s="87"/>
      <c r="B37" s="88"/>
      <c r="C37" s="42" t="s">
        <v>20</v>
      </c>
      <c r="D37" s="43">
        <f t="shared" ref="D37:Y37" si="11">D30+D31+D32+D33+D34+D35</f>
        <v>0</v>
      </c>
      <c r="E37" s="44">
        <f t="shared" si="11"/>
        <v>0</v>
      </c>
      <c r="F37" s="43">
        <f t="shared" si="11"/>
        <v>0</v>
      </c>
      <c r="G37" s="44">
        <f t="shared" si="11"/>
        <v>0</v>
      </c>
      <c r="H37" s="43">
        <f t="shared" si="11"/>
        <v>0</v>
      </c>
      <c r="I37" s="44">
        <f t="shared" si="11"/>
        <v>0</v>
      </c>
      <c r="J37" s="43">
        <f t="shared" si="11"/>
        <v>0</v>
      </c>
      <c r="K37" s="44">
        <f t="shared" si="11"/>
        <v>0</v>
      </c>
      <c r="L37" s="43">
        <f t="shared" si="11"/>
        <v>0</v>
      </c>
      <c r="M37" s="44">
        <f t="shared" si="11"/>
        <v>0</v>
      </c>
      <c r="N37" s="43">
        <f t="shared" si="11"/>
        <v>0</v>
      </c>
      <c r="O37" s="44">
        <f t="shared" si="11"/>
        <v>0</v>
      </c>
      <c r="P37" s="43">
        <f t="shared" si="11"/>
        <v>0</v>
      </c>
      <c r="Q37" s="44">
        <f t="shared" si="11"/>
        <v>0</v>
      </c>
      <c r="R37" s="43">
        <f t="shared" si="11"/>
        <v>0</v>
      </c>
      <c r="S37" s="44">
        <f t="shared" si="11"/>
        <v>0</v>
      </c>
      <c r="T37" s="43">
        <f t="shared" si="11"/>
        <v>0</v>
      </c>
      <c r="U37" s="44">
        <f t="shared" si="11"/>
        <v>0</v>
      </c>
      <c r="V37" s="43">
        <f t="shared" si="11"/>
        <v>0</v>
      </c>
      <c r="W37" s="44">
        <f t="shared" si="11"/>
        <v>0</v>
      </c>
      <c r="X37" s="43">
        <f t="shared" si="11"/>
        <v>0</v>
      </c>
      <c r="Y37" s="44">
        <f t="shared" si="11"/>
        <v>0</v>
      </c>
      <c r="Z37" s="45"/>
      <c r="AA37" s="43">
        <f>AA30+AA31+AA32+AA33+AA34+AA35</f>
        <v>0</v>
      </c>
      <c r="AB37" s="44">
        <f>AB30+AB31+AB32+AB33+AB34+AB35</f>
        <v>0</v>
      </c>
      <c r="AC37" s="43">
        <f>AC30+AC31+AC32+AC33+AC34+AC35</f>
        <v>0</v>
      </c>
      <c r="AD37" s="43"/>
      <c r="AE37" s="44"/>
      <c r="AF37" s="43"/>
      <c r="AG37" s="44"/>
      <c r="AH37" s="43">
        <f>$AC$2-AD30</f>
        <v>0</v>
      </c>
      <c r="AI37" s="46"/>
      <c r="AJ37" s="47"/>
    </row>
    <row r="38" spans="1:36" ht="18" customHeight="1">
      <c r="A38" s="76" t="s">
        <v>12</v>
      </c>
      <c r="B38" s="77"/>
      <c r="C38" s="22" t="s">
        <v>46</v>
      </c>
      <c r="D38" s="23"/>
      <c r="E38" s="24"/>
      <c r="F38" s="23"/>
      <c r="G38" s="24"/>
      <c r="H38" s="23"/>
      <c r="I38" s="24"/>
      <c r="J38" s="23"/>
      <c r="K38" s="24"/>
      <c r="L38" s="23"/>
      <c r="M38" s="24"/>
      <c r="N38" s="23"/>
      <c r="O38" s="24"/>
      <c r="P38" s="23"/>
      <c r="Q38" s="24"/>
      <c r="R38" s="23"/>
      <c r="S38" s="24"/>
      <c r="T38" s="23"/>
      <c r="U38" s="24"/>
      <c r="V38" s="23"/>
      <c r="W38" s="24"/>
      <c r="X38" s="23"/>
      <c r="Y38" s="24"/>
      <c r="Z38" s="25"/>
      <c r="AA38" s="23">
        <f t="shared" ref="AA38:AB43" si="12">D38+F38+H38+J38+L38+N38+P38+R38+T38+V38+X38</f>
        <v>0</v>
      </c>
      <c r="AB38" s="24">
        <f t="shared" si="12"/>
        <v>0</v>
      </c>
      <c r="AC38" s="23">
        <f t="shared" ref="AC38:AC43" si="13">AA38+AB38*2</f>
        <v>0</v>
      </c>
      <c r="AD38" s="23">
        <f>AD30+AC38+AC39+AC40+AC41+AC42+AC43-(J102)</f>
        <v>0</v>
      </c>
      <c r="AE38" s="24">
        <f>AE30+AC38+AC39+AC40+AC41+AC42-((J102)-(J99+K99*2))</f>
        <v>0</v>
      </c>
      <c r="AF38" s="26">
        <f>IF($AC$2&gt;0,AD38/$AC$2,0)</f>
        <v>0</v>
      </c>
      <c r="AG38" s="27">
        <f>IF($AC$2&gt;0,AE38/$AC$2,0)</f>
        <v>0</v>
      </c>
      <c r="AH38" s="23"/>
      <c r="AI38" s="28"/>
      <c r="AJ38" s="29"/>
    </row>
    <row r="39" spans="1:36" ht="18" customHeight="1">
      <c r="A39" s="78"/>
      <c r="B39" s="77"/>
      <c r="C39" s="22" t="s">
        <v>47</v>
      </c>
      <c r="D39" s="23"/>
      <c r="E39" s="24"/>
      <c r="F39" s="23"/>
      <c r="G39" s="24"/>
      <c r="H39" s="23"/>
      <c r="I39" s="24"/>
      <c r="J39" s="23"/>
      <c r="K39" s="24"/>
      <c r="L39" s="23"/>
      <c r="M39" s="24"/>
      <c r="N39" s="23"/>
      <c r="O39" s="24"/>
      <c r="P39" s="23"/>
      <c r="Q39" s="24"/>
      <c r="R39" s="23"/>
      <c r="S39" s="24"/>
      <c r="T39" s="23"/>
      <c r="U39" s="24"/>
      <c r="V39" s="23"/>
      <c r="W39" s="24"/>
      <c r="X39" s="23"/>
      <c r="Y39" s="24"/>
      <c r="Z39" s="25"/>
      <c r="AA39" s="23">
        <f t="shared" si="12"/>
        <v>0</v>
      </c>
      <c r="AB39" s="24">
        <f t="shared" si="12"/>
        <v>0</v>
      </c>
      <c r="AC39" s="23">
        <f t="shared" si="13"/>
        <v>0</v>
      </c>
      <c r="AD39" s="23"/>
      <c r="AE39" s="24"/>
      <c r="AF39" s="23"/>
      <c r="AG39" s="24"/>
      <c r="AH39" s="23"/>
      <c r="AI39" s="28"/>
      <c r="AJ39" s="29"/>
    </row>
    <row r="40" spans="1:36" ht="18" customHeight="1">
      <c r="A40" s="78"/>
      <c r="B40" s="77"/>
      <c r="C40" s="22" t="s">
        <v>48</v>
      </c>
      <c r="D40" s="23"/>
      <c r="E40" s="24"/>
      <c r="F40" s="23"/>
      <c r="G40" s="24"/>
      <c r="H40" s="23"/>
      <c r="I40" s="24"/>
      <c r="J40" s="23"/>
      <c r="K40" s="24"/>
      <c r="L40" s="23"/>
      <c r="M40" s="24"/>
      <c r="N40" s="23"/>
      <c r="O40" s="24"/>
      <c r="P40" s="23"/>
      <c r="Q40" s="24"/>
      <c r="R40" s="23"/>
      <c r="S40" s="24"/>
      <c r="T40" s="23"/>
      <c r="U40" s="24"/>
      <c r="V40" s="23"/>
      <c r="W40" s="24"/>
      <c r="X40" s="23"/>
      <c r="Y40" s="24"/>
      <c r="Z40" s="25"/>
      <c r="AA40" s="23">
        <f t="shared" si="12"/>
        <v>0</v>
      </c>
      <c r="AB40" s="24">
        <f t="shared" si="12"/>
        <v>0</v>
      </c>
      <c r="AC40" s="23">
        <f t="shared" si="13"/>
        <v>0</v>
      </c>
      <c r="AD40" s="23"/>
      <c r="AE40" s="24"/>
      <c r="AF40" s="23"/>
      <c r="AG40" s="24"/>
      <c r="AH40" s="23"/>
      <c r="AI40" s="28"/>
      <c r="AJ40" s="29"/>
    </row>
    <row r="41" spans="1:36" ht="18" customHeight="1">
      <c r="A41" s="78"/>
      <c r="B41" s="77"/>
      <c r="C41" s="22" t="s">
        <v>49</v>
      </c>
      <c r="D41" s="23"/>
      <c r="E41" s="24"/>
      <c r="F41" s="23"/>
      <c r="G41" s="24"/>
      <c r="H41" s="23"/>
      <c r="I41" s="24"/>
      <c r="J41" s="23"/>
      <c r="K41" s="24"/>
      <c r="L41" s="23"/>
      <c r="M41" s="24"/>
      <c r="N41" s="23"/>
      <c r="O41" s="24"/>
      <c r="P41" s="23"/>
      <c r="Q41" s="24"/>
      <c r="R41" s="23"/>
      <c r="S41" s="24"/>
      <c r="T41" s="23"/>
      <c r="U41" s="24"/>
      <c r="V41" s="23"/>
      <c r="W41" s="24"/>
      <c r="X41" s="23"/>
      <c r="Y41" s="24"/>
      <c r="Z41" s="25"/>
      <c r="AA41" s="23">
        <f t="shared" si="12"/>
        <v>0</v>
      </c>
      <c r="AB41" s="24">
        <f t="shared" si="12"/>
        <v>0</v>
      </c>
      <c r="AC41" s="23">
        <f t="shared" si="13"/>
        <v>0</v>
      </c>
      <c r="AD41" s="23"/>
      <c r="AE41" s="24"/>
      <c r="AF41" s="23"/>
      <c r="AG41" s="24"/>
      <c r="AH41" s="23"/>
      <c r="AI41" s="28"/>
      <c r="AJ41" s="29"/>
    </row>
    <row r="42" spans="1:36" ht="18" customHeight="1">
      <c r="A42" s="78"/>
      <c r="B42" s="77"/>
      <c r="C42" s="22" t="s">
        <v>50</v>
      </c>
      <c r="D42" s="23"/>
      <c r="E42" s="24"/>
      <c r="F42" s="23"/>
      <c r="G42" s="24"/>
      <c r="H42" s="23"/>
      <c r="I42" s="24"/>
      <c r="J42" s="23"/>
      <c r="K42" s="24"/>
      <c r="L42" s="23"/>
      <c r="M42" s="24"/>
      <c r="N42" s="23"/>
      <c r="O42" s="24"/>
      <c r="P42" s="23"/>
      <c r="Q42" s="24"/>
      <c r="R42" s="23"/>
      <c r="S42" s="24"/>
      <c r="T42" s="23"/>
      <c r="U42" s="24"/>
      <c r="V42" s="23"/>
      <c r="W42" s="24"/>
      <c r="X42" s="23"/>
      <c r="Y42" s="24"/>
      <c r="Z42" s="25"/>
      <c r="AA42" s="23">
        <f t="shared" si="12"/>
        <v>0</v>
      </c>
      <c r="AB42" s="24">
        <f t="shared" si="12"/>
        <v>0</v>
      </c>
      <c r="AC42" s="23">
        <f t="shared" si="13"/>
        <v>0</v>
      </c>
      <c r="AD42" s="23"/>
      <c r="AE42" s="24"/>
      <c r="AF42" s="23"/>
      <c r="AG42" s="24"/>
      <c r="AH42" s="23"/>
      <c r="AI42" s="28"/>
      <c r="AJ42" s="29">
        <f>AJ34-(AA42+AB42)+(J98+K98)</f>
        <v>0</v>
      </c>
    </row>
    <row r="43" spans="1:36" ht="18" customHeight="1">
      <c r="A43" s="20" t="s">
        <v>52</v>
      </c>
      <c r="B43" s="31" t="s">
        <v>29</v>
      </c>
      <c r="C43" s="22" t="s">
        <v>51</v>
      </c>
      <c r="D43" s="23"/>
      <c r="E43" s="24"/>
      <c r="F43" s="23"/>
      <c r="G43" s="24"/>
      <c r="H43" s="23"/>
      <c r="I43" s="24"/>
      <c r="J43" s="23"/>
      <c r="K43" s="24"/>
      <c r="L43" s="23"/>
      <c r="M43" s="24"/>
      <c r="N43" s="23"/>
      <c r="O43" s="24"/>
      <c r="P43" s="23"/>
      <c r="Q43" s="24"/>
      <c r="R43" s="23"/>
      <c r="S43" s="24"/>
      <c r="T43" s="23"/>
      <c r="U43" s="24"/>
      <c r="V43" s="23"/>
      <c r="W43" s="24"/>
      <c r="X43" s="23"/>
      <c r="Y43" s="24"/>
      <c r="Z43" s="25"/>
      <c r="AA43" s="23">
        <f t="shared" si="12"/>
        <v>0</v>
      </c>
      <c r="AB43" s="24">
        <f t="shared" si="12"/>
        <v>0</v>
      </c>
      <c r="AC43" s="23">
        <f t="shared" si="13"/>
        <v>0</v>
      </c>
      <c r="AD43" s="23"/>
      <c r="AE43" s="24"/>
      <c r="AF43" s="23"/>
      <c r="AG43" s="24"/>
      <c r="AH43" s="23"/>
      <c r="AI43" s="28"/>
      <c r="AJ43" s="29"/>
    </row>
    <row r="44" spans="1:36" ht="18" customHeight="1">
      <c r="A44" s="32" t="s">
        <v>54</v>
      </c>
      <c r="B44" s="33" t="s">
        <v>29</v>
      </c>
      <c r="C44" s="34" t="s">
        <v>44</v>
      </c>
      <c r="D44" s="74"/>
      <c r="E44" s="73"/>
      <c r="F44" s="74"/>
      <c r="G44" s="73"/>
      <c r="H44" s="74"/>
      <c r="I44" s="73"/>
      <c r="J44" s="74"/>
      <c r="K44" s="73"/>
      <c r="L44" s="74"/>
      <c r="M44" s="73"/>
      <c r="N44" s="74"/>
      <c r="O44" s="73"/>
      <c r="P44" s="74"/>
      <c r="Q44" s="73"/>
      <c r="R44" s="74"/>
      <c r="S44" s="73"/>
      <c r="T44" s="74"/>
      <c r="U44" s="73"/>
      <c r="V44" s="74"/>
      <c r="W44" s="73"/>
      <c r="X44" s="74"/>
      <c r="Y44" s="73"/>
      <c r="Z44" s="36"/>
      <c r="AA44" s="74">
        <f>D44+F44+H44+J44+L44+N44+P44+R44+T44+V44+X44</f>
        <v>0</v>
      </c>
      <c r="AB44" s="73"/>
      <c r="AC44" s="35"/>
      <c r="AD44" s="35">
        <f>AD36+AA44-(J103)</f>
        <v>0</v>
      </c>
      <c r="AE44" s="37">
        <f>AD44-(AD38-AE38)*2</f>
        <v>0</v>
      </c>
      <c r="AF44" s="38">
        <f>IF($AF$2&gt;0,AD44/$AF$2,0)</f>
        <v>0</v>
      </c>
      <c r="AG44" s="39">
        <f>IF($AF$2&gt;0,AE44/$AF$2,0)</f>
        <v>0</v>
      </c>
      <c r="AH44" s="35"/>
      <c r="AI44" s="40">
        <f>$AF$2-AD44</f>
        <v>0</v>
      </c>
      <c r="AJ44" s="41"/>
    </row>
    <row r="45" spans="1:36" ht="18" customHeight="1">
      <c r="A45" s="87"/>
      <c r="B45" s="88"/>
      <c r="C45" s="42" t="s">
        <v>20</v>
      </c>
      <c r="D45" s="43">
        <f t="shared" ref="D45:Y45" si="14">D38+D39+D40+D41+D42+D43</f>
        <v>0</v>
      </c>
      <c r="E45" s="44">
        <f t="shared" si="14"/>
        <v>0</v>
      </c>
      <c r="F45" s="43">
        <f t="shared" si="14"/>
        <v>0</v>
      </c>
      <c r="G45" s="44">
        <f t="shared" si="14"/>
        <v>0</v>
      </c>
      <c r="H45" s="43">
        <f t="shared" si="14"/>
        <v>0</v>
      </c>
      <c r="I45" s="44">
        <f t="shared" si="14"/>
        <v>0</v>
      </c>
      <c r="J45" s="43">
        <f t="shared" si="14"/>
        <v>0</v>
      </c>
      <c r="K45" s="44">
        <f t="shared" si="14"/>
        <v>0</v>
      </c>
      <c r="L45" s="43">
        <f t="shared" si="14"/>
        <v>0</v>
      </c>
      <c r="M45" s="44">
        <f t="shared" si="14"/>
        <v>0</v>
      </c>
      <c r="N45" s="43">
        <f t="shared" si="14"/>
        <v>0</v>
      </c>
      <c r="O45" s="44">
        <f t="shared" si="14"/>
        <v>0</v>
      </c>
      <c r="P45" s="43">
        <f t="shared" si="14"/>
        <v>0</v>
      </c>
      <c r="Q45" s="44">
        <f t="shared" si="14"/>
        <v>0</v>
      </c>
      <c r="R45" s="43">
        <f t="shared" si="14"/>
        <v>0</v>
      </c>
      <c r="S45" s="44">
        <f t="shared" si="14"/>
        <v>0</v>
      </c>
      <c r="T45" s="43">
        <f t="shared" si="14"/>
        <v>0</v>
      </c>
      <c r="U45" s="44">
        <f t="shared" si="14"/>
        <v>0</v>
      </c>
      <c r="V45" s="43">
        <f t="shared" si="14"/>
        <v>0</v>
      </c>
      <c r="W45" s="44">
        <f t="shared" si="14"/>
        <v>0</v>
      </c>
      <c r="X45" s="43">
        <f t="shared" si="14"/>
        <v>0</v>
      </c>
      <c r="Y45" s="44">
        <f t="shared" si="14"/>
        <v>0</v>
      </c>
      <c r="Z45" s="45"/>
      <c r="AA45" s="43">
        <f>AA38+AA39+AA40+AA41+AA42+AA43</f>
        <v>0</v>
      </c>
      <c r="AB45" s="44">
        <f>AB38+AB39+AB40+AB41+AB42+AB43</f>
        <v>0</v>
      </c>
      <c r="AC45" s="43">
        <f>AC38+AC39+AC40+AC41+AC42+AC43</f>
        <v>0</v>
      </c>
      <c r="AD45" s="43"/>
      <c r="AE45" s="44"/>
      <c r="AF45" s="43"/>
      <c r="AG45" s="44"/>
      <c r="AH45" s="43">
        <f>$AC$2-AD38</f>
        <v>0</v>
      </c>
      <c r="AI45" s="46"/>
      <c r="AJ45" s="47"/>
    </row>
    <row r="46" spans="1:36" ht="18" customHeight="1">
      <c r="A46" s="76" t="s">
        <v>13</v>
      </c>
      <c r="B46" s="77"/>
      <c r="C46" s="22" t="s">
        <v>46</v>
      </c>
      <c r="D46" s="23"/>
      <c r="E46" s="24"/>
      <c r="F46" s="23"/>
      <c r="G46" s="24"/>
      <c r="H46" s="23"/>
      <c r="I46" s="24"/>
      <c r="J46" s="23"/>
      <c r="K46" s="24"/>
      <c r="L46" s="23"/>
      <c r="M46" s="24"/>
      <c r="N46" s="23"/>
      <c r="O46" s="24"/>
      <c r="P46" s="23"/>
      <c r="Q46" s="24"/>
      <c r="R46" s="23"/>
      <c r="S46" s="24"/>
      <c r="T46" s="23"/>
      <c r="U46" s="24"/>
      <c r="V46" s="23"/>
      <c r="W46" s="24"/>
      <c r="X46" s="23"/>
      <c r="Y46" s="24"/>
      <c r="Z46" s="25"/>
      <c r="AA46" s="23">
        <f t="shared" ref="AA46:AB51" si="15">D46+F46+H46+J46+L46+N46+P46+R46+T46+V46+X46</f>
        <v>0</v>
      </c>
      <c r="AB46" s="24">
        <f t="shared" si="15"/>
        <v>0</v>
      </c>
      <c r="AC46" s="23">
        <f t="shared" ref="AC46:AC51" si="16">AA46+AB46*2</f>
        <v>0</v>
      </c>
      <c r="AD46" s="23">
        <f>AD38+AC46+AC47+AC48+AC49+AC50+AC51-(L102)</f>
        <v>0</v>
      </c>
      <c r="AE46" s="24">
        <f>AE38+AC46+AC47+AC48+AC49+AC50-((L102)-(L99+M99*2))</f>
        <v>0</v>
      </c>
      <c r="AF46" s="26">
        <f>IF($AC$2&gt;0,AD46/$AC$2,0)</f>
        <v>0</v>
      </c>
      <c r="AG46" s="27">
        <f>IF($AC$2&gt;0,AE46/$AC$2,0)</f>
        <v>0</v>
      </c>
      <c r="AH46" s="23"/>
      <c r="AI46" s="28"/>
      <c r="AJ46" s="29"/>
    </row>
    <row r="47" spans="1:36" ht="18" customHeight="1">
      <c r="A47" s="78"/>
      <c r="B47" s="77"/>
      <c r="C47" s="22" t="s">
        <v>47</v>
      </c>
      <c r="D47" s="23"/>
      <c r="E47" s="24"/>
      <c r="F47" s="23"/>
      <c r="G47" s="24"/>
      <c r="H47" s="23"/>
      <c r="I47" s="24"/>
      <c r="J47" s="23"/>
      <c r="K47" s="24"/>
      <c r="L47" s="23"/>
      <c r="M47" s="24"/>
      <c r="N47" s="23"/>
      <c r="O47" s="24"/>
      <c r="P47" s="23"/>
      <c r="Q47" s="24"/>
      <c r="R47" s="23"/>
      <c r="S47" s="24"/>
      <c r="T47" s="23"/>
      <c r="U47" s="24"/>
      <c r="V47" s="23"/>
      <c r="W47" s="24"/>
      <c r="X47" s="23"/>
      <c r="Y47" s="24"/>
      <c r="Z47" s="25"/>
      <c r="AA47" s="23">
        <f t="shared" si="15"/>
        <v>0</v>
      </c>
      <c r="AB47" s="24">
        <f t="shared" si="15"/>
        <v>0</v>
      </c>
      <c r="AC47" s="23">
        <f t="shared" si="16"/>
        <v>0</v>
      </c>
      <c r="AD47" s="23"/>
      <c r="AE47" s="24"/>
      <c r="AF47" s="23"/>
      <c r="AG47" s="24"/>
      <c r="AH47" s="23"/>
      <c r="AI47" s="28"/>
      <c r="AJ47" s="29"/>
    </row>
    <row r="48" spans="1:36" ht="18" customHeight="1">
      <c r="A48" s="78"/>
      <c r="B48" s="77"/>
      <c r="C48" s="22" t="s">
        <v>48</v>
      </c>
      <c r="D48" s="23"/>
      <c r="E48" s="24"/>
      <c r="F48" s="23"/>
      <c r="G48" s="24"/>
      <c r="H48" s="23"/>
      <c r="I48" s="24"/>
      <c r="J48" s="23"/>
      <c r="K48" s="24"/>
      <c r="L48" s="23"/>
      <c r="M48" s="24"/>
      <c r="N48" s="23"/>
      <c r="O48" s="24"/>
      <c r="P48" s="23"/>
      <c r="Q48" s="24"/>
      <c r="R48" s="23"/>
      <c r="S48" s="24"/>
      <c r="T48" s="23"/>
      <c r="U48" s="24"/>
      <c r="V48" s="23"/>
      <c r="W48" s="24"/>
      <c r="X48" s="23"/>
      <c r="Y48" s="24"/>
      <c r="Z48" s="25"/>
      <c r="AA48" s="23">
        <f t="shared" si="15"/>
        <v>0</v>
      </c>
      <c r="AB48" s="24">
        <f t="shared" si="15"/>
        <v>0</v>
      </c>
      <c r="AC48" s="23">
        <f t="shared" si="16"/>
        <v>0</v>
      </c>
      <c r="AD48" s="23"/>
      <c r="AE48" s="24"/>
      <c r="AF48" s="23"/>
      <c r="AG48" s="24"/>
      <c r="AH48" s="23"/>
      <c r="AI48" s="28"/>
      <c r="AJ48" s="29"/>
    </row>
    <row r="49" spans="1:36" ht="18" customHeight="1">
      <c r="A49" s="78"/>
      <c r="B49" s="77"/>
      <c r="C49" s="22" t="s">
        <v>49</v>
      </c>
      <c r="D49" s="23"/>
      <c r="E49" s="24"/>
      <c r="F49" s="23"/>
      <c r="G49" s="24"/>
      <c r="H49" s="23"/>
      <c r="I49" s="24"/>
      <c r="J49" s="23"/>
      <c r="K49" s="24"/>
      <c r="L49" s="23"/>
      <c r="M49" s="24"/>
      <c r="N49" s="23"/>
      <c r="O49" s="24"/>
      <c r="P49" s="23"/>
      <c r="Q49" s="24"/>
      <c r="R49" s="23"/>
      <c r="S49" s="24"/>
      <c r="T49" s="23"/>
      <c r="U49" s="24"/>
      <c r="V49" s="23"/>
      <c r="W49" s="24"/>
      <c r="X49" s="23"/>
      <c r="Y49" s="24"/>
      <c r="Z49" s="25"/>
      <c r="AA49" s="23">
        <f t="shared" si="15"/>
        <v>0</v>
      </c>
      <c r="AB49" s="24">
        <f t="shared" si="15"/>
        <v>0</v>
      </c>
      <c r="AC49" s="23">
        <f t="shared" si="16"/>
        <v>0</v>
      </c>
      <c r="AD49" s="23"/>
      <c r="AE49" s="24"/>
      <c r="AF49" s="23"/>
      <c r="AG49" s="24"/>
      <c r="AH49" s="23"/>
      <c r="AI49" s="28"/>
      <c r="AJ49" s="29"/>
    </row>
    <row r="50" spans="1:36" ht="18" customHeight="1">
      <c r="A50" s="78"/>
      <c r="B50" s="77"/>
      <c r="C50" s="22" t="s">
        <v>50</v>
      </c>
      <c r="D50" s="23"/>
      <c r="E50" s="24"/>
      <c r="F50" s="23"/>
      <c r="G50" s="24"/>
      <c r="H50" s="23"/>
      <c r="I50" s="24"/>
      <c r="J50" s="23"/>
      <c r="K50" s="24"/>
      <c r="L50" s="23"/>
      <c r="M50" s="24"/>
      <c r="N50" s="23"/>
      <c r="O50" s="24"/>
      <c r="P50" s="23"/>
      <c r="Q50" s="24"/>
      <c r="R50" s="23"/>
      <c r="S50" s="24"/>
      <c r="T50" s="23"/>
      <c r="U50" s="24"/>
      <c r="V50" s="23"/>
      <c r="W50" s="24"/>
      <c r="X50" s="23"/>
      <c r="Y50" s="24"/>
      <c r="Z50" s="25"/>
      <c r="AA50" s="23">
        <f t="shared" si="15"/>
        <v>0</v>
      </c>
      <c r="AB50" s="24">
        <f t="shared" si="15"/>
        <v>0</v>
      </c>
      <c r="AC50" s="23">
        <f t="shared" si="16"/>
        <v>0</v>
      </c>
      <c r="AD50" s="23"/>
      <c r="AE50" s="24"/>
      <c r="AF50" s="23"/>
      <c r="AG50" s="24"/>
      <c r="AH50" s="23"/>
      <c r="AI50" s="28"/>
      <c r="AJ50" s="29">
        <f>AJ42-(AA50+AB50)+(L98+M98)</f>
        <v>0</v>
      </c>
    </row>
    <row r="51" spans="1:36" ht="18" customHeight="1">
      <c r="A51" s="20" t="s">
        <v>52</v>
      </c>
      <c r="B51" s="31" t="s">
        <v>29</v>
      </c>
      <c r="C51" s="22" t="s">
        <v>51</v>
      </c>
      <c r="D51" s="23"/>
      <c r="E51" s="24"/>
      <c r="F51" s="23"/>
      <c r="G51" s="24"/>
      <c r="H51" s="23"/>
      <c r="I51" s="24"/>
      <c r="J51" s="23"/>
      <c r="K51" s="24"/>
      <c r="L51" s="23"/>
      <c r="M51" s="24"/>
      <c r="N51" s="23"/>
      <c r="O51" s="24"/>
      <c r="P51" s="23"/>
      <c r="Q51" s="24"/>
      <c r="R51" s="23"/>
      <c r="S51" s="24"/>
      <c r="T51" s="23"/>
      <c r="U51" s="24"/>
      <c r="V51" s="23"/>
      <c r="W51" s="24"/>
      <c r="X51" s="23"/>
      <c r="Y51" s="24"/>
      <c r="Z51" s="25"/>
      <c r="AA51" s="23">
        <f t="shared" si="15"/>
        <v>0</v>
      </c>
      <c r="AB51" s="24">
        <f t="shared" si="15"/>
        <v>0</v>
      </c>
      <c r="AC51" s="23">
        <f t="shared" si="16"/>
        <v>0</v>
      </c>
      <c r="AD51" s="23"/>
      <c r="AE51" s="24"/>
      <c r="AF51" s="23"/>
      <c r="AG51" s="24"/>
      <c r="AH51" s="23"/>
      <c r="AI51" s="28"/>
      <c r="AJ51" s="29"/>
    </row>
    <row r="52" spans="1:36" ht="18" customHeight="1">
      <c r="A52" s="32" t="s">
        <v>54</v>
      </c>
      <c r="B52" s="33" t="s">
        <v>30</v>
      </c>
      <c r="C52" s="34" t="s">
        <v>44</v>
      </c>
      <c r="D52" s="74"/>
      <c r="E52" s="73"/>
      <c r="F52" s="74"/>
      <c r="G52" s="73"/>
      <c r="H52" s="74"/>
      <c r="I52" s="73"/>
      <c r="J52" s="74"/>
      <c r="K52" s="73"/>
      <c r="L52" s="74"/>
      <c r="M52" s="73"/>
      <c r="N52" s="74"/>
      <c r="O52" s="73"/>
      <c r="P52" s="74"/>
      <c r="Q52" s="73"/>
      <c r="R52" s="74"/>
      <c r="S52" s="73"/>
      <c r="T52" s="74"/>
      <c r="U52" s="73"/>
      <c r="V52" s="74"/>
      <c r="W52" s="73"/>
      <c r="X52" s="74"/>
      <c r="Y52" s="73"/>
      <c r="Z52" s="36"/>
      <c r="AA52" s="74">
        <f>D52+F52+H52+J52+L52+N52+P52+R52+T52+V52+X52</f>
        <v>0</v>
      </c>
      <c r="AB52" s="73"/>
      <c r="AC52" s="35"/>
      <c r="AD52" s="35">
        <f>AD44+AA52-(L103)</f>
        <v>0</v>
      </c>
      <c r="AE52" s="37">
        <f>AD52-(AD46-AE46)*2</f>
        <v>0</v>
      </c>
      <c r="AF52" s="38">
        <f>IF($AF$2&gt;0,AD52/$AF$2,0)</f>
        <v>0</v>
      </c>
      <c r="AG52" s="39">
        <f>IF($AF$2&gt;0,AE52/$AF$2,0)</f>
        <v>0</v>
      </c>
      <c r="AH52" s="35"/>
      <c r="AI52" s="40">
        <f>$AF$2-AD52</f>
        <v>0</v>
      </c>
      <c r="AJ52" s="41"/>
    </row>
    <row r="53" spans="1:36" ht="18" customHeight="1">
      <c r="A53" s="87"/>
      <c r="B53" s="88"/>
      <c r="C53" s="42" t="s">
        <v>20</v>
      </c>
      <c r="D53" s="43">
        <f t="shared" ref="D53:Y53" si="17">D46+D47+D48+D49+D50+D51</f>
        <v>0</v>
      </c>
      <c r="E53" s="44">
        <f t="shared" si="17"/>
        <v>0</v>
      </c>
      <c r="F53" s="43">
        <f t="shared" si="17"/>
        <v>0</v>
      </c>
      <c r="G53" s="44">
        <f t="shared" si="17"/>
        <v>0</v>
      </c>
      <c r="H53" s="43">
        <f t="shared" si="17"/>
        <v>0</v>
      </c>
      <c r="I53" s="44">
        <f t="shared" si="17"/>
        <v>0</v>
      </c>
      <c r="J53" s="43">
        <f t="shared" si="17"/>
        <v>0</v>
      </c>
      <c r="K53" s="44">
        <f t="shared" si="17"/>
        <v>0</v>
      </c>
      <c r="L53" s="43">
        <f t="shared" si="17"/>
        <v>0</v>
      </c>
      <c r="M53" s="44">
        <f t="shared" si="17"/>
        <v>0</v>
      </c>
      <c r="N53" s="43">
        <f t="shared" si="17"/>
        <v>0</v>
      </c>
      <c r="O53" s="44">
        <f t="shared" si="17"/>
        <v>0</v>
      </c>
      <c r="P53" s="43">
        <f t="shared" si="17"/>
        <v>0</v>
      </c>
      <c r="Q53" s="44">
        <f t="shared" si="17"/>
        <v>0</v>
      </c>
      <c r="R53" s="43">
        <f t="shared" si="17"/>
        <v>0</v>
      </c>
      <c r="S53" s="44">
        <f t="shared" si="17"/>
        <v>0</v>
      </c>
      <c r="T53" s="43">
        <f t="shared" si="17"/>
        <v>0</v>
      </c>
      <c r="U53" s="44">
        <f t="shared" si="17"/>
        <v>0</v>
      </c>
      <c r="V53" s="43">
        <f t="shared" si="17"/>
        <v>0</v>
      </c>
      <c r="W53" s="44">
        <f t="shared" si="17"/>
        <v>0</v>
      </c>
      <c r="X53" s="43">
        <f t="shared" si="17"/>
        <v>0</v>
      </c>
      <c r="Y53" s="44">
        <f t="shared" si="17"/>
        <v>0</v>
      </c>
      <c r="Z53" s="45"/>
      <c r="AA53" s="43">
        <f>AA46+AA47+AA48+AA49+AA50+AA51</f>
        <v>0</v>
      </c>
      <c r="AB53" s="44">
        <f>AB46+AB47+AB48+AB49+AB50+AB51</f>
        <v>0</v>
      </c>
      <c r="AC53" s="43">
        <f>AC46+AC47+AC48+AC49+AC50+AC51</f>
        <v>0</v>
      </c>
      <c r="AD53" s="43"/>
      <c r="AE53" s="44"/>
      <c r="AF53" s="43"/>
      <c r="AG53" s="44"/>
      <c r="AH53" s="43">
        <f>$AC$2-AD46</f>
        <v>0</v>
      </c>
      <c r="AI53" s="46"/>
      <c r="AJ53" s="47"/>
    </row>
    <row r="54" spans="1:36" ht="18" customHeight="1">
      <c r="A54" s="76" t="s">
        <v>14</v>
      </c>
      <c r="B54" s="77"/>
      <c r="C54" s="22" t="s">
        <v>46</v>
      </c>
      <c r="D54" s="23"/>
      <c r="E54" s="24"/>
      <c r="F54" s="23"/>
      <c r="G54" s="24"/>
      <c r="H54" s="23"/>
      <c r="I54" s="24"/>
      <c r="J54" s="23"/>
      <c r="K54" s="24"/>
      <c r="L54" s="23"/>
      <c r="M54" s="24"/>
      <c r="N54" s="23"/>
      <c r="O54" s="24"/>
      <c r="P54" s="23"/>
      <c r="Q54" s="24"/>
      <c r="R54" s="23"/>
      <c r="S54" s="24"/>
      <c r="T54" s="23"/>
      <c r="U54" s="24"/>
      <c r="V54" s="23"/>
      <c r="W54" s="24"/>
      <c r="X54" s="23"/>
      <c r="Y54" s="24"/>
      <c r="Z54" s="25"/>
      <c r="AA54" s="23">
        <f t="shared" ref="AA54:AB59" si="18">D54+F54+H54+J54+L54+N54+P54+R54+T54+V54+X54</f>
        <v>0</v>
      </c>
      <c r="AB54" s="24">
        <f t="shared" si="18"/>
        <v>0</v>
      </c>
      <c r="AC54" s="23">
        <f t="shared" ref="AC54:AC59" si="19">AA54+AB54*2</f>
        <v>0</v>
      </c>
      <c r="AD54" s="23">
        <f>AD46+AC54+AC55+AC56+AC57+AC58+AC59-(N102)</f>
        <v>0</v>
      </c>
      <c r="AE54" s="24">
        <f>AE46+AC54+AC55+AC56+AC57+AC58-((N102)-(N99+O99*2))</f>
        <v>0</v>
      </c>
      <c r="AF54" s="26">
        <f>IF($AC$2&gt;0,AD54/$AC$2,0)</f>
        <v>0</v>
      </c>
      <c r="AG54" s="27">
        <f>IF($AC$2&gt;0,AE54/$AC$2,0)</f>
        <v>0</v>
      </c>
      <c r="AH54" s="23"/>
      <c r="AI54" s="28"/>
      <c r="AJ54" s="29"/>
    </row>
    <row r="55" spans="1:36" ht="18" customHeight="1">
      <c r="A55" s="78"/>
      <c r="B55" s="77"/>
      <c r="C55" s="22" t="s">
        <v>47</v>
      </c>
      <c r="D55" s="23"/>
      <c r="E55" s="24"/>
      <c r="F55" s="23"/>
      <c r="G55" s="24"/>
      <c r="H55" s="23"/>
      <c r="I55" s="24"/>
      <c r="J55" s="23"/>
      <c r="K55" s="24"/>
      <c r="L55" s="23"/>
      <c r="M55" s="24"/>
      <c r="N55" s="23"/>
      <c r="O55" s="24"/>
      <c r="P55" s="23"/>
      <c r="Q55" s="24"/>
      <c r="R55" s="23"/>
      <c r="S55" s="24"/>
      <c r="T55" s="23"/>
      <c r="U55" s="24"/>
      <c r="V55" s="23"/>
      <c r="W55" s="24"/>
      <c r="X55" s="23"/>
      <c r="Y55" s="24"/>
      <c r="Z55" s="25"/>
      <c r="AA55" s="23">
        <f t="shared" si="18"/>
        <v>0</v>
      </c>
      <c r="AB55" s="24">
        <f t="shared" si="18"/>
        <v>0</v>
      </c>
      <c r="AC55" s="23">
        <f t="shared" si="19"/>
        <v>0</v>
      </c>
      <c r="AD55" s="23"/>
      <c r="AE55" s="24"/>
      <c r="AF55" s="23"/>
      <c r="AG55" s="24"/>
      <c r="AH55" s="23"/>
      <c r="AI55" s="28"/>
      <c r="AJ55" s="29"/>
    </row>
    <row r="56" spans="1:36" ht="18" customHeight="1">
      <c r="A56" s="78"/>
      <c r="B56" s="77"/>
      <c r="C56" s="22" t="s">
        <v>48</v>
      </c>
      <c r="D56" s="23"/>
      <c r="E56" s="24"/>
      <c r="F56" s="23"/>
      <c r="G56" s="24"/>
      <c r="H56" s="23"/>
      <c r="I56" s="24"/>
      <c r="J56" s="23"/>
      <c r="K56" s="24"/>
      <c r="L56" s="23"/>
      <c r="M56" s="24"/>
      <c r="N56" s="23"/>
      <c r="O56" s="24"/>
      <c r="P56" s="23"/>
      <c r="Q56" s="24"/>
      <c r="R56" s="23"/>
      <c r="S56" s="24"/>
      <c r="T56" s="23"/>
      <c r="U56" s="24"/>
      <c r="V56" s="23"/>
      <c r="W56" s="24"/>
      <c r="X56" s="23"/>
      <c r="Y56" s="24"/>
      <c r="Z56" s="25"/>
      <c r="AA56" s="23">
        <f t="shared" si="18"/>
        <v>0</v>
      </c>
      <c r="AB56" s="24">
        <f t="shared" si="18"/>
        <v>0</v>
      </c>
      <c r="AC56" s="23">
        <f t="shared" si="19"/>
        <v>0</v>
      </c>
      <c r="AD56" s="23"/>
      <c r="AE56" s="24"/>
      <c r="AF56" s="23"/>
      <c r="AG56" s="24"/>
      <c r="AH56" s="23"/>
      <c r="AI56" s="28"/>
      <c r="AJ56" s="29"/>
    </row>
    <row r="57" spans="1:36" ht="18" customHeight="1">
      <c r="A57" s="78"/>
      <c r="B57" s="77"/>
      <c r="C57" s="22" t="s">
        <v>49</v>
      </c>
      <c r="D57" s="23"/>
      <c r="E57" s="24"/>
      <c r="F57" s="23"/>
      <c r="G57" s="24"/>
      <c r="H57" s="23"/>
      <c r="I57" s="24"/>
      <c r="J57" s="23"/>
      <c r="K57" s="24"/>
      <c r="L57" s="23"/>
      <c r="M57" s="24"/>
      <c r="N57" s="23"/>
      <c r="O57" s="24"/>
      <c r="P57" s="23"/>
      <c r="Q57" s="24"/>
      <c r="R57" s="23"/>
      <c r="S57" s="24"/>
      <c r="T57" s="23"/>
      <c r="U57" s="24"/>
      <c r="V57" s="23"/>
      <c r="W57" s="24"/>
      <c r="X57" s="23"/>
      <c r="Y57" s="24"/>
      <c r="Z57" s="25"/>
      <c r="AA57" s="23">
        <f t="shared" si="18"/>
        <v>0</v>
      </c>
      <c r="AB57" s="24">
        <f t="shared" si="18"/>
        <v>0</v>
      </c>
      <c r="AC57" s="23">
        <f t="shared" si="19"/>
        <v>0</v>
      </c>
      <c r="AD57" s="23"/>
      <c r="AE57" s="24"/>
      <c r="AF57" s="23"/>
      <c r="AG57" s="24"/>
      <c r="AH57" s="23"/>
      <c r="AI57" s="28"/>
      <c r="AJ57" s="29"/>
    </row>
    <row r="58" spans="1:36" ht="18" customHeight="1">
      <c r="A58" s="78"/>
      <c r="B58" s="77"/>
      <c r="C58" s="22" t="s">
        <v>50</v>
      </c>
      <c r="D58" s="23"/>
      <c r="E58" s="24"/>
      <c r="F58" s="23"/>
      <c r="G58" s="24"/>
      <c r="H58" s="23"/>
      <c r="I58" s="24"/>
      <c r="J58" s="23"/>
      <c r="K58" s="24"/>
      <c r="L58" s="23"/>
      <c r="M58" s="24"/>
      <c r="N58" s="23"/>
      <c r="O58" s="24"/>
      <c r="P58" s="23"/>
      <c r="Q58" s="24"/>
      <c r="R58" s="23"/>
      <c r="S58" s="24"/>
      <c r="T58" s="23"/>
      <c r="U58" s="24"/>
      <c r="V58" s="23"/>
      <c r="W58" s="24"/>
      <c r="X58" s="23"/>
      <c r="Y58" s="24"/>
      <c r="Z58" s="25"/>
      <c r="AA58" s="23">
        <f t="shared" si="18"/>
        <v>0</v>
      </c>
      <c r="AB58" s="24">
        <f t="shared" si="18"/>
        <v>0</v>
      </c>
      <c r="AC58" s="23">
        <f t="shared" si="19"/>
        <v>0</v>
      </c>
      <c r="AD58" s="23"/>
      <c r="AE58" s="24"/>
      <c r="AF58" s="23"/>
      <c r="AG58" s="24"/>
      <c r="AH58" s="23"/>
      <c r="AI58" s="28"/>
      <c r="AJ58" s="29">
        <f>AJ50-(AA58+AB58)+(N98+O98)</f>
        <v>0</v>
      </c>
    </row>
    <row r="59" spans="1:36" ht="18" customHeight="1">
      <c r="A59" s="20" t="s">
        <v>52</v>
      </c>
      <c r="B59" s="31" t="s">
        <v>31</v>
      </c>
      <c r="C59" s="22" t="s">
        <v>51</v>
      </c>
      <c r="D59" s="23"/>
      <c r="E59" s="24"/>
      <c r="F59" s="23"/>
      <c r="G59" s="24"/>
      <c r="H59" s="23"/>
      <c r="I59" s="24"/>
      <c r="J59" s="23"/>
      <c r="K59" s="24"/>
      <c r="L59" s="23"/>
      <c r="M59" s="24"/>
      <c r="N59" s="23"/>
      <c r="O59" s="24"/>
      <c r="P59" s="23"/>
      <c r="Q59" s="24"/>
      <c r="R59" s="23"/>
      <c r="S59" s="24"/>
      <c r="T59" s="23"/>
      <c r="U59" s="24"/>
      <c r="V59" s="23"/>
      <c r="W59" s="24"/>
      <c r="X59" s="23"/>
      <c r="Y59" s="24"/>
      <c r="Z59" s="25"/>
      <c r="AA59" s="23">
        <f t="shared" si="18"/>
        <v>0</v>
      </c>
      <c r="AB59" s="24">
        <f t="shared" si="18"/>
        <v>0</v>
      </c>
      <c r="AC59" s="23">
        <f t="shared" si="19"/>
        <v>0</v>
      </c>
      <c r="AD59" s="23"/>
      <c r="AE59" s="24"/>
      <c r="AF59" s="23"/>
      <c r="AG59" s="24"/>
      <c r="AH59" s="23"/>
      <c r="AI59" s="28"/>
      <c r="AJ59" s="29"/>
    </row>
    <row r="60" spans="1:36" ht="18" customHeight="1">
      <c r="A60" s="32" t="s">
        <v>54</v>
      </c>
      <c r="B60" s="33" t="s">
        <v>31</v>
      </c>
      <c r="C60" s="34" t="s">
        <v>44</v>
      </c>
      <c r="D60" s="74"/>
      <c r="E60" s="73"/>
      <c r="F60" s="74"/>
      <c r="G60" s="73"/>
      <c r="H60" s="74"/>
      <c r="I60" s="73"/>
      <c r="J60" s="74"/>
      <c r="K60" s="73"/>
      <c r="L60" s="74"/>
      <c r="M60" s="73"/>
      <c r="N60" s="74"/>
      <c r="O60" s="73"/>
      <c r="P60" s="74"/>
      <c r="Q60" s="73"/>
      <c r="R60" s="74"/>
      <c r="S60" s="73"/>
      <c r="T60" s="74"/>
      <c r="U60" s="73"/>
      <c r="V60" s="74"/>
      <c r="W60" s="73"/>
      <c r="X60" s="74"/>
      <c r="Y60" s="73"/>
      <c r="Z60" s="36"/>
      <c r="AA60" s="74">
        <f>D60+F60+H60+J60+L60+N60+P60+R60+T60+V60+X60</f>
        <v>0</v>
      </c>
      <c r="AB60" s="73"/>
      <c r="AC60" s="35"/>
      <c r="AD60" s="35">
        <f>AD52+AA60-(N103)</f>
        <v>0</v>
      </c>
      <c r="AE60" s="37">
        <f>AD60-(AD54-AE54)*2</f>
        <v>0</v>
      </c>
      <c r="AF60" s="38">
        <f>IF($AF$2&gt;0,AD60/$AF$2,0)</f>
        <v>0</v>
      </c>
      <c r="AG60" s="39">
        <f>IF($AF$2&gt;0,AE60/$AF$2,0)</f>
        <v>0</v>
      </c>
      <c r="AH60" s="35"/>
      <c r="AI60" s="40">
        <f>$AF$2-AD60</f>
        <v>0</v>
      </c>
      <c r="AJ60" s="41"/>
    </row>
    <row r="61" spans="1:36" ht="18" customHeight="1">
      <c r="A61" s="87"/>
      <c r="B61" s="88"/>
      <c r="C61" s="42" t="s">
        <v>20</v>
      </c>
      <c r="D61" s="43">
        <f t="shared" ref="D61:Y61" si="20">D54+D55+D56+D57+D58+D59</f>
        <v>0</v>
      </c>
      <c r="E61" s="44">
        <f t="shared" si="20"/>
        <v>0</v>
      </c>
      <c r="F61" s="43">
        <f t="shared" si="20"/>
        <v>0</v>
      </c>
      <c r="G61" s="44">
        <f t="shared" si="20"/>
        <v>0</v>
      </c>
      <c r="H61" s="43">
        <f t="shared" si="20"/>
        <v>0</v>
      </c>
      <c r="I61" s="44">
        <f t="shared" si="20"/>
        <v>0</v>
      </c>
      <c r="J61" s="43">
        <f t="shared" si="20"/>
        <v>0</v>
      </c>
      <c r="K61" s="44">
        <f t="shared" si="20"/>
        <v>0</v>
      </c>
      <c r="L61" s="43">
        <f t="shared" si="20"/>
        <v>0</v>
      </c>
      <c r="M61" s="44">
        <f t="shared" si="20"/>
        <v>0</v>
      </c>
      <c r="N61" s="43">
        <f t="shared" si="20"/>
        <v>0</v>
      </c>
      <c r="O61" s="44">
        <f t="shared" si="20"/>
        <v>0</v>
      </c>
      <c r="P61" s="43">
        <f t="shared" si="20"/>
        <v>0</v>
      </c>
      <c r="Q61" s="44">
        <f t="shared" si="20"/>
        <v>0</v>
      </c>
      <c r="R61" s="43">
        <f t="shared" si="20"/>
        <v>0</v>
      </c>
      <c r="S61" s="44">
        <f t="shared" si="20"/>
        <v>0</v>
      </c>
      <c r="T61" s="43">
        <f t="shared" si="20"/>
        <v>0</v>
      </c>
      <c r="U61" s="44">
        <f t="shared" si="20"/>
        <v>0</v>
      </c>
      <c r="V61" s="43">
        <f t="shared" si="20"/>
        <v>0</v>
      </c>
      <c r="W61" s="44">
        <f t="shared" si="20"/>
        <v>0</v>
      </c>
      <c r="X61" s="43">
        <f t="shared" si="20"/>
        <v>0</v>
      </c>
      <c r="Y61" s="44">
        <f t="shared" si="20"/>
        <v>0</v>
      </c>
      <c r="Z61" s="45"/>
      <c r="AA61" s="43">
        <f>AA54+AA55+AA56+AA57+AA58+AA59</f>
        <v>0</v>
      </c>
      <c r="AB61" s="44">
        <f>AB54+AB55+AB56+AB57+AB58+AB59</f>
        <v>0</v>
      </c>
      <c r="AC61" s="43">
        <f>AC54+AC55+AC56+AC57+AC58+AC59</f>
        <v>0</v>
      </c>
      <c r="AD61" s="43"/>
      <c r="AE61" s="44"/>
      <c r="AF61" s="43"/>
      <c r="AG61" s="44"/>
      <c r="AH61" s="43">
        <f>$AC$2-AD54</f>
        <v>0</v>
      </c>
      <c r="AI61" s="46"/>
      <c r="AJ61" s="47"/>
    </row>
    <row r="62" spans="1:36" ht="18" customHeight="1">
      <c r="A62" s="76" t="s">
        <v>15</v>
      </c>
      <c r="B62" s="77"/>
      <c r="C62" s="22" t="s">
        <v>46</v>
      </c>
      <c r="D62" s="23"/>
      <c r="E62" s="24"/>
      <c r="F62" s="23"/>
      <c r="G62" s="24"/>
      <c r="H62" s="23"/>
      <c r="I62" s="24"/>
      <c r="J62" s="23"/>
      <c r="K62" s="24"/>
      <c r="L62" s="23"/>
      <c r="M62" s="24"/>
      <c r="N62" s="23"/>
      <c r="O62" s="24"/>
      <c r="P62" s="23"/>
      <c r="Q62" s="24"/>
      <c r="R62" s="23"/>
      <c r="S62" s="24"/>
      <c r="T62" s="23"/>
      <c r="U62" s="24"/>
      <c r="V62" s="23"/>
      <c r="W62" s="24"/>
      <c r="X62" s="23"/>
      <c r="Y62" s="24"/>
      <c r="Z62" s="25"/>
      <c r="AA62" s="23">
        <f t="shared" ref="AA62:AB67" si="21">D62+F62+H62+J62+L62+N62+P62+R62+T62+V62+X62</f>
        <v>0</v>
      </c>
      <c r="AB62" s="24">
        <f t="shared" si="21"/>
        <v>0</v>
      </c>
      <c r="AC62" s="23">
        <f t="shared" ref="AC62:AC67" si="22">AA62+AB62*2</f>
        <v>0</v>
      </c>
      <c r="AD62" s="23">
        <f>AD54+AC62+AC63+AC64+AC65+AC66+AC67-(P102)</f>
        <v>0</v>
      </c>
      <c r="AE62" s="24">
        <f>AE54+AC62+AC63+AC64+AC65+AC66-((P102)-(P99+Q99*2))</f>
        <v>0</v>
      </c>
      <c r="AF62" s="26">
        <f>IF($AC$2&gt;0,AD62/$AC$2,0)</f>
        <v>0</v>
      </c>
      <c r="AG62" s="27">
        <f>IF($AC$2&gt;0,AE62/$AC$2,0)</f>
        <v>0</v>
      </c>
      <c r="AH62" s="23"/>
      <c r="AI62" s="28"/>
      <c r="AJ62" s="29"/>
    </row>
    <row r="63" spans="1:36" ht="18" customHeight="1">
      <c r="A63" s="78"/>
      <c r="B63" s="77"/>
      <c r="C63" s="22" t="s">
        <v>47</v>
      </c>
      <c r="D63" s="23"/>
      <c r="E63" s="24"/>
      <c r="F63" s="23"/>
      <c r="G63" s="24"/>
      <c r="H63" s="23"/>
      <c r="I63" s="24"/>
      <c r="J63" s="23"/>
      <c r="K63" s="24"/>
      <c r="L63" s="23"/>
      <c r="M63" s="24"/>
      <c r="N63" s="23"/>
      <c r="O63" s="24"/>
      <c r="P63" s="23"/>
      <c r="Q63" s="24"/>
      <c r="R63" s="23"/>
      <c r="S63" s="24"/>
      <c r="T63" s="23"/>
      <c r="U63" s="24"/>
      <c r="V63" s="23"/>
      <c r="W63" s="24"/>
      <c r="X63" s="23"/>
      <c r="Y63" s="24"/>
      <c r="Z63" s="25"/>
      <c r="AA63" s="23">
        <f t="shared" si="21"/>
        <v>0</v>
      </c>
      <c r="AB63" s="24">
        <f t="shared" si="21"/>
        <v>0</v>
      </c>
      <c r="AC63" s="23">
        <f t="shared" si="22"/>
        <v>0</v>
      </c>
      <c r="AD63" s="23"/>
      <c r="AE63" s="24"/>
      <c r="AF63" s="23"/>
      <c r="AG63" s="24"/>
      <c r="AH63" s="23"/>
      <c r="AI63" s="28"/>
      <c r="AJ63" s="29"/>
    </row>
    <row r="64" spans="1:36" ht="18" customHeight="1">
      <c r="A64" s="78"/>
      <c r="B64" s="77"/>
      <c r="C64" s="22" t="s">
        <v>48</v>
      </c>
      <c r="D64" s="23"/>
      <c r="E64" s="24"/>
      <c r="F64" s="23"/>
      <c r="G64" s="24"/>
      <c r="H64" s="23"/>
      <c r="I64" s="24"/>
      <c r="J64" s="23"/>
      <c r="K64" s="24"/>
      <c r="L64" s="23"/>
      <c r="M64" s="24"/>
      <c r="N64" s="23"/>
      <c r="O64" s="24"/>
      <c r="P64" s="23"/>
      <c r="Q64" s="24"/>
      <c r="R64" s="23"/>
      <c r="S64" s="24"/>
      <c r="T64" s="23"/>
      <c r="U64" s="24"/>
      <c r="V64" s="23"/>
      <c r="W64" s="24"/>
      <c r="X64" s="23"/>
      <c r="Y64" s="24"/>
      <c r="Z64" s="25"/>
      <c r="AA64" s="23">
        <f t="shared" si="21"/>
        <v>0</v>
      </c>
      <c r="AB64" s="24">
        <f t="shared" si="21"/>
        <v>0</v>
      </c>
      <c r="AC64" s="23">
        <f t="shared" si="22"/>
        <v>0</v>
      </c>
      <c r="AD64" s="23"/>
      <c r="AE64" s="24"/>
      <c r="AF64" s="23"/>
      <c r="AG64" s="24"/>
      <c r="AH64" s="23"/>
      <c r="AI64" s="28"/>
      <c r="AJ64" s="29"/>
    </row>
    <row r="65" spans="1:36" ht="18" customHeight="1">
      <c r="A65" s="78"/>
      <c r="B65" s="77"/>
      <c r="C65" s="22" t="s">
        <v>49</v>
      </c>
      <c r="D65" s="23"/>
      <c r="E65" s="24"/>
      <c r="F65" s="23"/>
      <c r="G65" s="24"/>
      <c r="H65" s="23"/>
      <c r="I65" s="24"/>
      <c r="J65" s="23"/>
      <c r="K65" s="24"/>
      <c r="L65" s="23"/>
      <c r="M65" s="24"/>
      <c r="N65" s="23"/>
      <c r="O65" s="24"/>
      <c r="P65" s="23"/>
      <c r="Q65" s="24"/>
      <c r="R65" s="23"/>
      <c r="S65" s="24"/>
      <c r="T65" s="23"/>
      <c r="U65" s="24"/>
      <c r="V65" s="23"/>
      <c r="W65" s="24"/>
      <c r="X65" s="23"/>
      <c r="Y65" s="24"/>
      <c r="Z65" s="25"/>
      <c r="AA65" s="23">
        <f t="shared" si="21"/>
        <v>0</v>
      </c>
      <c r="AB65" s="24">
        <f t="shared" si="21"/>
        <v>0</v>
      </c>
      <c r="AC65" s="23">
        <f t="shared" si="22"/>
        <v>0</v>
      </c>
      <c r="AD65" s="23"/>
      <c r="AE65" s="24"/>
      <c r="AF65" s="23"/>
      <c r="AG65" s="24"/>
      <c r="AH65" s="23"/>
      <c r="AI65" s="28"/>
      <c r="AJ65" s="29"/>
    </row>
    <row r="66" spans="1:36" ht="18" customHeight="1">
      <c r="A66" s="78"/>
      <c r="B66" s="77"/>
      <c r="C66" s="22" t="s">
        <v>50</v>
      </c>
      <c r="D66" s="23"/>
      <c r="E66" s="24"/>
      <c r="F66" s="23"/>
      <c r="G66" s="24"/>
      <c r="H66" s="23"/>
      <c r="I66" s="24"/>
      <c r="J66" s="23"/>
      <c r="K66" s="24"/>
      <c r="L66" s="23"/>
      <c r="M66" s="24"/>
      <c r="N66" s="23"/>
      <c r="O66" s="24"/>
      <c r="P66" s="23"/>
      <c r="Q66" s="24"/>
      <c r="R66" s="23"/>
      <c r="S66" s="24"/>
      <c r="T66" s="23"/>
      <c r="U66" s="24"/>
      <c r="V66" s="23"/>
      <c r="W66" s="24"/>
      <c r="X66" s="23"/>
      <c r="Y66" s="24"/>
      <c r="Z66" s="25"/>
      <c r="AA66" s="23">
        <f t="shared" si="21"/>
        <v>0</v>
      </c>
      <c r="AB66" s="24">
        <f t="shared" si="21"/>
        <v>0</v>
      </c>
      <c r="AC66" s="23">
        <f t="shared" si="22"/>
        <v>0</v>
      </c>
      <c r="AD66" s="23"/>
      <c r="AE66" s="24"/>
      <c r="AF66" s="23"/>
      <c r="AG66" s="24"/>
      <c r="AH66" s="23"/>
      <c r="AI66" s="28"/>
      <c r="AJ66" s="29">
        <f>AJ58-(AA66+AB66)+(P98+Q98)</f>
        <v>0</v>
      </c>
    </row>
    <row r="67" spans="1:36" ht="18" customHeight="1">
      <c r="A67" s="20" t="s">
        <v>52</v>
      </c>
      <c r="B67" s="31" t="s">
        <v>32</v>
      </c>
      <c r="C67" s="22" t="s">
        <v>51</v>
      </c>
      <c r="D67" s="23"/>
      <c r="E67" s="24"/>
      <c r="F67" s="23"/>
      <c r="G67" s="24"/>
      <c r="H67" s="23"/>
      <c r="I67" s="24"/>
      <c r="J67" s="23"/>
      <c r="K67" s="24"/>
      <c r="L67" s="23"/>
      <c r="M67" s="24"/>
      <c r="N67" s="23"/>
      <c r="O67" s="24"/>
      <c r="P67" s="23"/>
      <c r="Q67" s="24"/>
      <c r="R67" s="23"/>
      <c r="S67" s="24"/>
      <c r="T67" s="23"/>
      <c r="U67" s="24"/>
      <c r="V67" s="23"/>
      <c r="W67" s="24"/>
      <c r="X67" s="23"/>
      <c r="Y67" s="24"/>
      <c r="Z67" s="25"/>
      <c r="AA67" s="23">
        <f t="shared" si="21"/>
        <v>0</v>
      </c>
      <c r="AB67" s="24">
        <f t="shared" si="21"/>
        <v>0</v>
      </c>
      <c r="AC67" s="23">
        <f t="shared" si="22"/>
        <v>0</v>
      </c>
      <c r="AD67" s="23"/>
      <c r="AE67" s="24"/>
      <c r="AF67" s="23"/>
      <c r="AG67" s="24"/>
      <c r="AH67" s="23"/>
      <c r="AI67" s="28"/>
      <c r="AJ67" s="29"/>
    </row>
    <row r="68" spans="1:36" ht="18" customHeight="1">
      <c r="A68" s="32" t="s">
        <v>54</v>
      </c>
      <c r="B68" s="33" t="s">
        <v>32</v>
      </c>
      <c r="C68" s="34" t="s">
        <v>44</v>
      </c>
      <c r="D68" s="74"/>
      <c r="E68" s="73"/>
      <c r="F68" s="74"/>
      <c r="G68" s="73"/>
      <c r="H68" s="74"/>
      <c r="I68" s="73"/>
      <c r="J68" s="74"/>
      <c r="K68" s="73"/>
      <c r="L68" s="74"/>
      <c r="M68" s="73"/>
      <c r="N68" s="74"/>
      <c r="O68" s="73"/>
      <c r="P68" s="74"/>
      <c r="Q68" s="73"/>
      <c r="R68" s="74"/>
      <c r="S68" s="73"/>
      <c r="T68" s="74"/>
      <c r="U68" s="73"/>
      <c r="V68" s="74"/>
      <c r="W68" s="73"/>
      <c r="X68" s="74"/>
      <c r="Y68" s="73"/>
      <c r="Z68" s="36"/>
      <c r="AA68" s="74">
        <f>D68+F68+H68+J68+L68+N68+P68+R68+T68+V68+X68</f>
        <v>0</v>
      </c>
      <c r="AB68" s="73"/>
      <c r="AC68" s="35"/>
      <c r="AD68" s="35">
        <f>AD60+AA68-(P103)</f>
        <v>0</v>
      </c>
      <c r="AE68" s="37">
        <f>AD68-(AD62-AE62)*2</f>
        <v>0</v>
      </c>
      <c r="AF68" s="38">
        <f>IF($AF$2&gt;0,AD68/$AF$2,0)</f>
        <v>0</v>
      </c>
      <c r="AG68" s="39">
        <f>IF($AF$2&gt;0,AE68/$AF$2,0)</f>
        <v>0</v>
      </c>
      <c r="AH68" s="35"/>
      <c r="AI68" s="40">
        <f>$AF$2-AD68</f>
        <v>0</v>
      </c>
      <c r="AJ68" s="41"/>
    </row>
    <row r="69" spans="1:36" ht="18" customHeight="1">
      <c r="A69" s="87"/>
      <c r="B69" s="88"/>
      <c r="C69" s="42" t="s">
        <v>20</v>
      </c>
      <c r="D69" s="43">
        <f t="shared" ref="D69:Y69" si="23">D62+D63+D64+D65+D66+D67</f>
        <v>0</v>
      </c>
      <c r="E69" s="44">
        <f t="shared" si="23"/>
        <v>0</v>
      </c>
      <c r="F69" s="43">
        <f t="shared" si="23"/>
        <v>0</v>
      </c>
      <c r="G69" s="44">
        <f t="shared" si="23"/>
        <v>0</v>
      </c>
      <c r="H69" s="43">
        <f t="shared" si="23"/>
        <v>0</v>
      </c>
      <c r="I69" s="44">
        <f t="shared" si="23"/>
        <v>0</v>
      </c>
      <c r="J69" s="43">
        <f t="shared" si="23"/>
        <v>0</v>
      </c>
      <c r="K69" s="44">
        <f t="shared" si="23"/>
        <v>0</v>
      </c>
      <c r="L69" s="43">
        <f t="shared" si="23"/>
        <v>0</v>
      </c>
      <c r="M69" s="44">
        <f t="shared" si="23"/>
        <v>0</v>
      </c>
      <c r="N69" s="43">
        <f t="shared" si="23"/>
        <v>0</v>
      </c>
      <c r="O69" s="44">
        <f t="shared" si="23"/>
        <v>0</v>
      </c>
      <c r="P69" s="43">
        <f t="shared" si="23"/>
        <v>0</v>
      </c>
      <c r="Q69" s="44">
        <f t="shared" si="23"/>
        <v>0</v>
      </c>
      <c r="R69" s="43">
        <f t="shared" si="23"/>
        <v>0</v>
      </c>
      <c r="S69" s="44">
        <f t="shared" si="23"/>
        <v>0</v>
      </c>
      <c r="T69" s="43">
        <f t="shared" si="23"/>
        <v>0</v>
      </c>
      <c r="U69" s="44">
        <f t="shared" si="23"/>
        <v>0</v>
      </c>
      <c r="V69" s="43">
        <f t="shared" si="23"/>
        <v>0</v>
      </c>
      <c r="W69" s="44">
        <f t="shared" si="23"/>
        <v>0</v>
      </c>
      <c r="X69" s="43">
        <f t="shared" si="23"/>
        <v>0</v>
      </c>
      <c r="Y69" s="44">
        <f t="shared" si="23"/>
        <v>0</v>
      </c>
      <c r="Z69" s="45"/>
      <c r="AA69" s="43">
        <f>AA62+AA63+AA64+AA65+AA66+AA67</f>
        <v>0</v>
      </c>
      <c r="AB69" s="44">
        <f>AB62+AB63+AB64+AB65+AB66+AB67</f>
        <v>0</v>
      </c>
      <c r="AC69" s="43">
        <f>AC62+AC63+AC64+AC65+AC66+AC67</f>
        <v>0</v>
      </c>
      <c r="AD69" s="43"/>
      <c r="AE69" s="44"/>
      <c r="AF69" s="43"/>
      <c r="AG69" s="44"/>
      <c r="AH69" s="43">
        <f>$AC$2-AD62</f>
        <v>0</v>
      </c>
      <c r="AI69" s="46"/>
      <c r="AJ69" s="47"/>
    </row>
    <row r="70" spans="1:36" ht="18" customHeight="1">
      <c r="A70" s="76" t="s">
        <v>16</v>
      </c>
      <c r="B70" s="77"/>
      <c r="C70" s="22" t="s">
        <v>46</v>
      </c>
      <c r="D70" s="23"/>
      <c r="E70" s="24"/>
      <c r="F70" s="23"/>
      <c r="G70" s="24"/>
      <c r="H70" s="23"/>
      <c r="I70" s="24"/>
      <c r="J70" s="23"/>
      <c r="K70" s="24"/>
      <c r="L70" s="23"/>
      <c r="M70" s="24"/>
      <c r="N70" s="23"/>
      <c r="O70" s="24"/>
      <c r="P70" s="23"/>
      <c r="Q70" s="24"/>
      <c r="R70" s="23"/>
      <c r="S70" s="24"/>
      <c r="T70" s="23"/>
      <c r="U70" s="24"/>
      <c r="V70" s="23"/>
      <c r="W70" s="24"/>
      <c r="X70" s="23"/>
      <c r="Y70" s="24"/>
      <c r="Z70" s="25"/>
      <c r="AA70" s="23">
        <f t="shared" ref="AA70:AB75" si="24">D70+F70+H70+J70+L70+N70+P70+R70+T70+V70+X70</f>
        <v>0</v>
      </c>
      <c r="AB70" s="24">
        <f t="shared" si="24"/>
        <v>0</v>
      </c>
      <c r="AC70" s="23">
        <f t="shared" ref="AC70:AC75" si="25">AA70+AB70*2</f>
        <v>0</v>
      </c>
      <c r="AD70" s="23">
        <f>AD62+AC70+AC71+AC72+AC73+AC74+AC75-(R102)</f>
        <v>0</v>
      </c>
      <c r="AE70" s="24">
        <f>AE62+AC70+AC71+AC72+AC73+AC74-((R102)-(R99+S99*2))</f>
        <v>0</v>
      </c>
      <c r="AF70" s="26">
        <f>IF($AC$2&gt;0,AD70/$AC$2,0)</f>
        <v>0</v>
      </c>
      <c r="AG70" s="27">
        <f>IF($AC$2&gt;0,AE70/$AC$2,0)</f>
        <v>0</v>
      </c>
      <c r="AH70" s="23"/>
      <c r="AI70" s="28"/>
      <c r="AJ70" s="29"/>
    </row>
    <row r="71" spans="1:36" ht="18" customHeight="1">
      <c r="A71" s="78"/>
      <c r="B71" s="77"/>
      <c r="C71" s="22" t="s">
        <v>47</v>
      </c>
      <c r="D71" s="23"/>
      <c r="E71" s="24"/>
      <c r="F71" s="23"/>
      <c r="G71" s="24"/>
      <c r="H71" s="23"/>
      <c r="I71" s="24"/>
      <c r="J71" s="23"/>
      <c r="K71" s="24"/>
      <c r="L71" s="23"/>
      <c r="M71" s="24"/>
      <c r="N71" s="23"/>
      <c r="O71" s="24"/>
      <c r="P71" s="23"/>
      <c r="Q71" s="24"/>
      <c r="R71" s="23"/>
      <c r="S71" s="24"/>
      <c r="T71" s="23"/>
      <c r="U71" s="24"/>
      <c r="V71" s="23"/>
      <c r="W71" s="24"/>
      <c r="X71" s="23"/>
      <c r="Y71" s="24"/>
      <c r="Z71" s="25"/>
      <c r="AA71" s="23">
        <f t="shared" si="24"/>
        <v>0</v>
      </c>
      <c r="AB71" s="24">
        <f t="shared" si="24"/>
        <v>0</v>
      </c>
      <c r="AC71" s="23">
        <f t="shared" si="25"/>
        <v>0</v>
      </c>
      <c r="AD71" s="23"/>
      <c r="AE71" s="24"/>
      <c r="AF71" s="23"/>
      <c r="AG71" s="24"/>
      <c r="AH71" s="23"/>
      <c r="AI71" s="28"/>
      <c r="AJ71" s="29"/>
    </row>
    <row r="72" spans="1:36" ht="18" customHeight="1">
      <c r="A72" s="78"/>
      <c r="B72" s="77"/>
      <c r="C72" s="22" t="s">
        <v>48</v>
      </c>
      <c r="D72" s="23"/>
      <c r="E72" s="24"/>
      <c r="F72" s="23"/>
      <c r="G72" s="24"/>
      <c r="H72" s="23"/>
      <c r="I72" s="24"/>
      <c r="J72" s="23"/>
      <c r="K72" s="24"/>
      <c r="L72" s="23"/>
      <c r="M72" s="24"/>
      <c r="N72" s="23"/>
      <c r="O72" s="24"/>
      <c r="P72" s="23"/>
      <c r="Q72" s="24"/>
      <c r="R72" s="23"/>
      <c r="S72" s="24"/>
      <c r="T72" s="23"/>
      <c r="U72" s="24"/>
      <c r="V72" s="23"/>
      <c r="W72" s="24"/>
      <c r="X72" s="23"/>
      <c r="Y72" s="24"/>
      <c r="Z72" s="25"/>
      <c r="AA72" s="23">
        <f t="shared" si="24"/>
        <v>0</v>
      </c>
      <c r="AB72" s="24">
        <f t="shared" si="24"/>
        <v>0</v>
      </c>
      <c r="AC72" s="23">
        <f t="shared" si="25"/>
        <v>0</v>
      </c>
      <c r="AD72" s="23"/>
      <c r="AE72" s="24"/>
      <c r="AF72" s="23"/>
      <c r="AG72" s="24"/>
      <c r="AH72" s="23"/>
      <c r="AI72" s="28"/>
      <c r="AJ72" s="29"/>
    </row>
    <row r="73" spans="1:36" ht="18" customHeight="1">
      <c r="A73" s="78"/>
      <c r="B73" s="77"/>
      <c r="C73" s="22" t="s">
        <v>49</v>
      </c>
      <c r="D73" s="23"/>
      <c r="E73" s="24"/>
      <c r="F73" s="23"/>
      <c r="G73" s="24"/>
      <c r="H73" s="23"/>
      <c r="I73" s="24"/>
      <c r="J73" s="23"/>
      <c r="K73" s="24"/>
      <c r="L73" s="23"/>
      <c r="M73" s="24"/>
      <c r="N73" s="23"/>
      <c r="O73" s="24"/>
      <c r="P73" s="23"/>
      <c r="Q73" s="24"/>
      <c r="R73" s="23"/>
      <c r="S73" s="24"/>
      <c r="T73" s="23"/>
      <c r="U73" s="24"/>
      <c r="V73" s="23"/>
      <c r="W73" s="24"/>
      <c r="X73" s="23"/>
      <c r="Y73" s="24"/>
      <c r="Z73" s="25"/>
      <c r="AA73" s="23">
        <f t="shared" si="24"/>
        <v>0</v>
      </c>
      <c r="AB73" s="24">
        <f t="shared" si="24"/>
        <v>0</v>
      </c>
      <c r="AC73" s="23">
        <f t="shared" si="25"/>
        <v>0</v>
      </c>
      <c r="AD73" s="23"/>
      <c r="AE73" s="24"/>
      <c r="AF73" s="23"/>
      <c r="AG73" s="24"/>
      <c r="AH73" s="23"/>
      <c r="AI73" s="28"/>
      <c r="AJ73" s="29"/>
    </row>
    <row r="74" spans="1:36" ht="18" customHeight="1">
      <c r="A74" s="78"/>
      <c r="B74" s="77"/>
      <c r="C74" s="22" t="s">
        <v>50</v>
      </c>
      <c r="D74" s="23"/>
      <c r="E74" s="24"/>
      <c r="F74" s="23"/>
      <c r="G74" s="24"/>
      <c r="H74" s="23"/>
      <c r="I74" s="24"/>
      <c r="J74" s="23"/>
      <c r="K74" s="24"/>
      <c r="L74" s="23"/>
      <c r="M74" s="24"/>
      <c r="N74" s="23"/>
      <c r="O74" s="24"/>
      <c r="P74" s="23"/>
      <c r="Q74" s="24"/>
      <c r="R74" s="23"/>
      <c r="S74" s="24"/>
      <c r="T74" s="23"/>
      <c r="U74" s="24"/>
      <c r="V74" s="23"/>
      <c r="W74" s="24"/>
      <c r="X74" s="23"/>
      <c r="Y74" s="24"/>
      <c r="Z74" s="25"/>
      <c r="AA74" s="23">
        <f t="shared" si="24"/>
        <v>0</v>
      </c>
      <c r="AB74" s="24">
        <f t="shared" si="24"/>
        <v>0</v>
      </c>
      <c r="AC74" s="23">
        <f t="shared" si="25"/>
        <v>0</v>
      </c>
      <c r="AD74" s="23"/>
      <c r="AE74" s="24"/>
      <c r="AF74" s="23"/>
      <c r="AG74" s="24"/>
      <c r="AH74" s="23"/>
      <c r="AI74" s="28"/>
      <c r="AJ74" s="29">
        <f>AJ66-(AA74+AB74)+(R98+S98)</f>
        <v>0</v>
      </c>
    </row>
    <row r="75" spans="1:36" ht="18" customHeight="1">
      <c r="A75" s="20" t="s">
        <v>52</v>
      </c>
      <c r="B75" s="31" t="s">
        <v>56</v>
      </c>
      <c r="C75" s="22" t="s">
        <v>51</v>
      </c>
      <c r="D75" s="23"/>
      <c r="E75" s="24"/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3"/>
      <c r="U75" s="24"/>
      <c r="V75" s="23"/>
      <c r="W75" s="24"/>
      <c r="X75" s="23"/>
      <c r="Y75" s="24"/>
      <c r="Z75" s="25"/>
      <c r="AA75" s="23">
        <f t="shared" si="24"/>
        <v>0</v>
      </c>
      <c r="AB75" s="24">
        <f t="shared" si="24"/>
        <v>0</v>
      </c>
      <c r="AC75" s="23">
        <f t="shared" si="25"/>
        <v>0</v>
      </c>
      <c r="AD75" s="23"/>
      <c r="AE75" s="24"/>
      <c r="AF75" s="23"/>
      <c r="AG75" s="24"/>
      <c r="AH75" s="23"/>
      <c r="AI75" s="28"/>
      <c r="AJ75" s="29"/>
    </row>
    <row r="76" spans="1:36" ht="18" customHeight="1">
      <c r="A76" s="32" t="s">
        <v>54</v>
      </c>
      <c r="B76" s="33" t="s">
        <v>33</v>
      </c>
      <c r="C76" s="34" t="s">
        <v>44</v>
      </c>
      <c r="D76" s="74"/>
      <c r="E76" s="73"/>
      <c r="F76" s="74"/>
      <c r="G76" s="73"/>
      <c r="H76" s="74"/>
      <c r="I76" s="73"/>
      <c r="J76" s="74"/>
      <c r="K76" s="73"/>
      <c r="L76" s="74"/>
      <c r="M76" s="73"/>
      <c r="N76" s="74"/>
      <c r="O76" s="73"/>
      <c r="P76" s="74"/>
      <c r="Q76" s="73"/>
      <c r="R76" s="74"/>
      <c r="S76" s="73"/>
      <c r="T76" s="74"/>
      <c r="U76" s="73"/>
      <c r="V76" s="74"/>
      <c r="W76" s="73"/>
      <c r="X76" s="74"/>
      <c r="Y76" s="73"/>
      <c r="Z76" s="36"/>
      <c r="AA76" s="74">
        <f>D76+F76+H76+J76+L76+N76+P76+R76+T76+V76+X76</f>
        <v>0</v>
      </c>
      <c r="AB76" s="73"/>
      <c r="AC76" s="35"/>
      <c r="AD76" s="35">
        <f>AD68+AA76-(R103)</f>
        <v>0</v>
      </c>
      <c r="AE76" s="37">
        <f>AD76-(AD70-AE70)*2</f>
        <v>0</v>
      </c>
      <c r="AF76" s="38">
        <f>IF($AF$2&gt;0,AD76/$AF$2,0)</f>
        <v>0</v>
      </c>
      <c r="AG76" s="39">
        <f>IF($AF$2&gt;0,AE76/$AF$2,0)</f>
        <v>0</v>
      </c>
      <c r="AH76" s="35"/>
      <c r="AI76" s="40">
        <f>$AF$2-AD76</f>
        <v>0</v>
      </c>
      <c r="AJ76" s="41"/>
    </row>
    <row r="77" spans="1:36" ht="18" customHeight="1">
      <c r="A77" s="87"/>
      <c r="B77" s="88"/>
      <c r="C77" s="42" t="s">
        <v>20</v>
      </c>
      <c r="D77" s="43">
        <f t="shared" ref="D77:Y77" si="26">D70+D71+D72+D73+D74+D75</f>
        <v>0</v>
      </c>
      <c r="E77" s="44">
        <f t="shared" si="26"/>
        <v>0</v>
      </c>
      <c r="F77" s="43">
        <f t="shared" si="26"/>
        <v>0</v>
      </c>
      <c r="G77" s="44">
        <f t="shared" si="26"/>
        <v>0</v>
      </c>
      <c r="H77" s="43">
        <f t="shared" si="26"/>
        <v>0</v>
      </c>
      <c r="I77" s="44">
        <f t="shared" si="26"/>
        <v>0</v>
      </c>
      <c r="J77" s="43">
        <f t="shared" si="26"/>
        <v>0</v>
      </c>
      <c r="K77" s="44">
        <f t="shared" si="26"/>
        <v>0</v>
      </c>
      <c r="L77" s="43">
        <f t="shared" si="26"/>
        <v>0</v>
      </c>
      <c r="M77" s="44">
        <f t="shared" si="26"/>
        <v>0</v>
      </c>
      <c r="N77" s="43">
        <f t="shared" si="26"/>
        <v>0</v>
      </c>
      <c r="O77" s="44">
        <f t="shared" si="26"/>
        <v>0</v>
      </c>
      <c r="P77" s="43">
        <f t="shared" si="26"/>
        <v>0</v>
      </c>
      <c r="Q77" s="44">
        <f t="shared" si="26"/>
        <v>0</v>
      </c>
      <c r="R77" s="43">
        <f t="shared" si="26"/>
        <v>0</v>
      </c>
      <c r="S77" s="44">
        <f t="shared" si="26"/>
        <v>0</v>
      </c>
      <c r="T77" s="43">
        <f t="shared" si="26"/>
        <v>0</v>
      </c>
      <c r="U77" s="44">
        <f t="shared" si="26"/>
        <v>0</v>
      </c>
      <c r="V77" s="43">
        <f t="shared" si="26"/>
        <v>0</v>
      </c>
      <c r="W77" s="44">
        <f t="shared" si="26"/>
        <v>0</v>
      </c>
      <c r="X77" s="43">
        <f t="shared" si="26"/>
        <v>0</v>
      </c>
      <c r="Y77" s="44">
        <f t="shared" si="26"/>
        <v>0</v>
      </c>
      <c r="Z77" s="45"/>
      <c r="AA77" s="43">
        <f>AA70+AA71+AA72+AA73+AA74+AA75</f>
        <v>0</v>
      </c>
      <c r="AB77" s="44">
        <f>AB70+AB71+AB72+AB73+AB74+AB75</f>
        <v>0</v>
      </c>
      <c r="AC77" s="43">
        <f>AC70+AC71+AC72+AC73+AC74+AC75</f>
        <v>0</v>
      </c>
      <c r="AD77" s="43"/>
      <c r="AE77" s="44"/>
      <c r="AF77" s="43"/>
      <c r="AG77" s="44"/>
      <c r="AH77" s="43">
        <f>$AC$2-AD70</f>
        <v>0</v>
      </c>
      <c r="AI77" s="46"/>
      <c r="AJ77" s="47"/>
    </row>
    <row r="78" spans="1:36" ht="18" customHeight="1">
      <c r="A78" s="76" t="s">
        <v>17</v>
      </c>
      <c r="B78" s="77"/>
      <c r="C78" s="22" t="s">
        <v>46</v>
      </c>
      <c r="D78" s="23"/>
      <c r="E78" s="24"/>
      <c r="F78" s="23"/>
      <c r="G78" s="24"/>
      <c r="H78" s="23"/>
      <c r="I78" s="24"/>
      <c r="J78" s="23"/>
      <c r="K78" s="24"/>
      <c r="L78" s="23"/>
      <c r="M78" s="24"/>
      <c r="N78" s="23"/>
      <c r="O78" s="24"/>
      <c r="P78" s="23"/>
      <c r="Q78" s="24"/>
      <c r="R78" s="23"/>
      <c r="S78" s="24"/>
      <c r="T78" s="23"/>
      <c r="U78" s="24"/>
      <c r="V78" s="23"/>
      <c r="W78" s="24"/>
      <c r="X78" s="23"/>
      <c r="Y78" s="24"/>
      <c r="Z78" s="25"/>
      <c r="AA78" s="23">
        <f t="shared" ref="AA78:AB83" si="27">D78+F78+H78+J78+L78+N78+P78+R78+T78+V78+X78</f>
        <v>0</v>
      </c>
      <c r="AB78" s="24">
        <f t="shared" si="27"/>
        <v>0</v>
      </c>
      <c r="AC78" s="23">
        <f t="shared" ref="AC78:AC83" si="28">AA78+AB78*2</f>
        <v>0</v>
      </c>
      <c r="AD78" s="23">
        <f>AD70+AC78+AC79+AC80+AC81+AC82+AC83-(T102)</f>
        <v>0</v>
      </c>
      <c r="AE78" s="24">
        <f>AE70+AC78+AC79+AC80+AC81+AC82-((T102)-(T99+U99*2))</f>
        <v>0</v>
      </c>
      <c r="AF78" s="26">
        <f>IF($AC$2&gt;0,AD78/$AC$2,0)</f>
        <v>0</v>
      </c>
      <c r="AG78" s="27">
        <f>IF($AC$2&gt;0,AE78/$AC$2,0)</f>
        <v>0</v>
      </c>
      <c r="AH78" s="23"/>
      <c r="AI78" s="28"/>
      <c r="AJ78" s="29"/>
    </row>
    <row r="79" spans="1:36" ht="18" customHeight="1">
      <c r="A79" s="78"/>
      <c r="B79" s="77"/>
      <c r="C79" s="22" t="s">
        <v>47</v>
      </c>
      <c r="D79" s="23"/>
      <c r="E79" s="24"/>
      <c r="F79" s="23"/>
      <c r="G79" s="24"/>
      <c r="H79" s="23"/>
      <c r="I79" s="24"/>
      <c r="J79" s="23"/>
      <c r="K79" s="24"/>
      <c r="L79" s="23"/>
      <c r="M79" s="24"/>
      <c r="N79" s="23"/>
      <c r="O79" s="24"/>
      <c r="P79" s="23"/>
      <c r="Q79" s="24"/>
      <c r="R79" s="23"/>
      <c r="S79" s="24"/>
      <c r="T79" s="23"/>
      <c r="U79" s="24"/>
      <c r="V79" s="23"/>
      <c r="W79" s="24"/>
      <c r="X79" s="23"/>
      <c r="Y79" s="24"/>
      <c r="Z79" s="25"/>
      <c r="AA79" s="23">
        <f t="shared" si="27"/>
        <v>0</v>
      </c>
      <c r="AB79" s="24">
        <f t="shared" si="27"/>
        <v>0</v>
      </c>
      <c r="AC79" s="23">
        <f t="shared" si="28"/>
        <v>0</v>
      </c>
      <c r="AD79" s="23"/>
      <c r="AE79" s="24"/>
      <c r="AF79" s="23"/>
      <c r="AG79" s="24"/>
      <c r="AH79" s="23"/>
      <c r="AI79" s="28"/>
      <c r="AJ79" s="29"/>
    </row>
    <row r="80" spans="1:36" ht="18" customHeight="1">
      <c r="A80" s="78"/>
      <c r="B80" s="77"/>
      <c r="C80" s="22" t="s">
        <v>48</v>
      </c>
      <c r="D80" s="23"/>
      <c r="E80" s="24"/>
      <c r="F80" s="23"/>
      <c r="G80" s="24"/>
      <c r="H80" s="23"/>
      <c r="I80" s="24"/>
      <c r="J80" s="23"/>
      <c r="K80" s="24"/>
      <c r="L80" s="23"/>
      <c r="M80" s="24"/>
      <c r="N80" s="23"/>
      <c r="O80" s="24"/>
      <c r="P80" s="23"/>
      <c r="Q80" s="24"/>
      <c r="R80" s="23"/>
      <c r="S80" s="24"/>
      <c r="T80" s="23"/>
      <c r="U80" s="24"/>
      <c r="V80" s="23"/>
      <c r="W80" s="24"/>
      <c r="X80" s="23"/>
      <c r="Y80" s="24"/>
      <c r="Z80" s="25"/>
      <c r="AA80" s="23">
        <f t="shared" si="27"/>
        <v>0</v>
      </c>
      <c r="AB80" s="24">
        <f t="shared" si="27"/>
        <v>0</v>
      </c>
      <c r="AC80" s="23">
        <f t="shared" si="28"/>
        <v>0</v>
      </c>
      <c r="AD80" s="23"/>
      <c r="AE80" s="24"/>
      <c r="AF80" s="23"/>
      <c r="AG80" s="24"/>
      <c r="AH80" s="23"/>
      <c r="AI80" s="28"/>
      <c r="AJ80" s="29"/>
    </row>
    <row r="81" spans="1:36" ht="18" customHeight="1">
      <c r="A81" s="78"/>
      <c r="B81" s="77"/>
      <c r="C81" s="22" t="s">
        <v>49</v>
      </c>
      <c r="D81" s="23"/>
      <c r="E81" s="24"/>
      <c r="F81" s="23"/>
      <c r="G81" s="24"/>
      <c r="H81" s="23"/>
      <c r="I81" s="24"/>
      <c r="J81" s="23"/>
      <c r="K81" s="24"/>
      <c r="L81" s="23"/>
      <c r="M81" s="24"/>
      <c r="N81" s="23"/>
      <c r="O81" s="24"/>
      <c r="P81" s="23"/>
      <c r="Q81" s="24"/>
      <c r="R81" s="23"/>
      <c r="S81" s="24"/>
      <c r="T81" s="23"/>
      <c r="U81" s="24"/>
      <c r="V81" s="23"/>
      <c r="W81" s="24"/>
      <c r="X81" s="23"/>
      <c r="Y81" s="24"/>
      <c r="Z81" s="25"/>
      <c r="AA81" s="23">
        <f t="shared" si="27"/>
        <v>0</v>
      </c>
      <c r="AB81" s="24">
        <f t="shared" si="27"/>
        <v>0</v>
      </c>
      <c r="AC81" s="23">
        <f t="shared" si="28"/>
        <v>0</v>
      </c>
      <c r="AD81" s="23"/>
      <c r="AE81" s="24"/>
      <c r="AF81" s="23"/>
      <c r="AG81" s="24"/>
      <c r="AH81" s="23"/>
      <c r="AI81" s="28"/>
      <c r="AJ81" s="29"/>
    </row>
    <row r="82" spans="1:36" ht="18" customHeight="1">
      <c r="A82" s="78"/>
      <c r="B82" s="77"/>
      <c r="C82" s="22" t="s">
        <v>50</v>
      </c>
      <c r="D82" s="23"/>
      <c r="E82" s="24"/>
      <c r="F82" s="23"/>
      <c r="G82" s="24"/>
      <c r="H82" s="23"/>
      <c r="I82" s="24"/>
      <c r="J82" s="23"/>
      <c r="K82" s="24"/>
      <c r="L82" s="23"/>
      <c r="M82" s="24"/>
      <c r="N82" s="23"/>
      <c r="O82" s="24"/>
      <c r="P82" s="23"/>
      <c r="Q82" s="24"/>
      <c r="R82" s="23"/>
      <c r="S82" s="24"/>
      <c r="T82" s="23"/>
      <c r="U82" s="24"/>
      <c r="V82" s="23"/>
      <c r="W82" s="24"/>
      <c r="X82" s="23"/>
      <c r="Y82" s="24"/>
      <c r="Z82" s="25"/>
      <c r="AA82" s="23">
        <f t="shared" si="27"/>
        <v>0</v>
      </c>
      <c r="AB82" s="24">
        <f t="shared" si="27"/>
        <v>0</v>
      </c>
      <c r="AC82" s="23">
        <f t="shared" si="28"/>
        <v>0</v>
      </c>
      <c r="AD82" s="23"/>
      <c r="AE82" s="24"/>
      <c r="AF82" s="23"/>
      <c r="AG82" s="24"/>
      <c r="AH82" s="23"/>
      <c r="AI82" s="28"/>
      <c r="AJ82" s="29">
        <f>AJ74-(AA82+AB82)+(T98+U98)</f>
        <v>0</v>
      </c>
    </row>
    <row r="83" spans="1:36" ht="18" customHeight="1">
      <c r="A83" s="20" t="s">
        <v>52</v>
      </c>
      <c r="B83" s="31" t="s">
        <v>57</v>
      </c>
      <c r="C83" s="22" t="s">
        <v>51</v>
      </c>
      <c r="D83" s="23"/>
      <c r="E83" s="24"/>
      <c r="F83" s="23"/>
      <c r="G83" s="24"/>
      <c r="H83" s="23"/>
      <c r="I83" s="24"/>
      <c r="J83" s="23"/>
      <c r="K83" s="24"/>
      <c r="L83" s="23"/>
      <c r="M83" s="24"/>
      <c r="N83" s="23"/>
      <c r="O83" s="24"/>
      <c r="P83" s="23"/>
      <c r="Q83" s="24"/>
      <c r="R83" s="23"/>
      <c r="S83" s="24"/>
      <c r="T83" s="23"/>
      <c r="U83" s="24"/>
      <c r="V83" s="23"/>
      <c r="W83" s="24"/>
      <c r="X83" s="23"/>
      <c r="Y83" s="24"/>
      <c r="Z83" s="25"/>
      <c r="AA83" s="23">
        <f t="shared" si="27"/>
        <v>0</v>
      </c>
      <c r="AB83" s="24">
        <f t="shared" si="27"/>
        <v>0</v>
      </c>
      <c r="AC83" s="23">
        <f t="shared" si="28"/>
        <v>0</v>
      </c>
      <c r="AD83" s="23"/>
      <c r="AE83" s="24"/>
      <c r="AF83" s="23"/>
      <c r="AG83" s="24"/>
      <c r="AH83" s="23"/>
      <c r="AI83" s="28"/>
      <c r="AJ83" s="29"/>
    </row>
    <row r="84" spans="1:36" ht="18" customHeight="1">
      <c r="A84" s="32" t="s">
        <v>54</v>
      </c>
      <c r="B84" s="33" t="s">
        <v>34</v>
      </c>
      <c r="C84" s="34" t="s">
        <v>44</v>
      </c>
      <c r="D84" s="74"/>
      <c r="E84" s="73"/>
      <c r="F84" s="74"/>
      <c r="G84" s="73"/>
      <c r="H84" s="74"/>
      <c r="I84" s="73"/>
      <c r="J84" s="74"/>
      <c r="K84" s="73"/>
      <c r="L84" s="74"/>
      <c r="M84" s="73"/>
      <c r="N84" s="74"/>
      <c r="O84" s="73"/>
      <c r="P84" s="74"/>
      <c r="Q84" s="73"/>
      <c r="R84" s="74"/>
      <c r="S84" s="73"/>
      <c r="T84" s="74"/>
      <c r="U84" s="73"/>
      <c r="V84" s="74"/>
      <c r="W84" s="73"/>
      <c r="X84" s="74"/>
      <c r="Y84" s="73"/>
      <c r="Z84" s="36"/>
      <c r="AA84" s="74">
        <f>D84+F84+H84+J84+L84+N84+P84+R84+T84+V84+X84</f>
        <v>0</v>
      </c>
      <c r="AB84" s="73"/>
      <c r="AC84" s="35"/>
      <c r="AD84" s="35">
        <f>AD76+AA84-(T103)</f>
        <v>0</v>
      </c>
      <c r="AE84" s="37">
        <f>AD84-(AD78-AE78)*2</f>
        <v>0</v>
      </c>
      <c r="AF84" s="38">
        <f>IF($AF$2&gt;0,AD84/$AF$2,0)</f>
        <v>0</v>
      </c>
      <c r="AG84" s="39">
        <f>IF($AF$2&gt;0,AE84/$AF$2,0)</f>
        <v>0</v>
      </c>
      <c r="AH84" s="35"/>
      <c r="AI84" s="40">
        <f>$AF$2-AD84</f>
        <v>0</v>
      </c>
      <c r="AJ84" s="41"/>
    </row>
    <row r="85" spans="1:36" ht="18" customHeight="1">
      <c r="A85" s="87"/>
      <c r="B85" s="88"/>
      <c r="C85" s="42" t="s">
        <v>20</v>
      </c>
      <c r="D85" s="43">
        <f t="shared" ref="D85:Y85" si="29">D78+D79+D80+D81+D82+D83</f>
        <v>0</v>
      </c>
      <c r="E85" s="44">
        <f t="shared" si="29"/>
        <v>0</v>
      </c>
      <c r="F85" s="43">
        <f t="shared" si="29"/>
        <v>0</v>
      </c>
      <c r="G85" s="44">
        <f t="shared" si="29"/>
        <v>0</v>
      </c>
      <c r="H85" s="43">
        <f t="shared" si="29"/>
        <v>0</v>
      </c>
      <c r="I85" s="44">
        <f t="shared" si="29"/>
        <v>0</v>
      </c>
      <c r="J85" s="43">
        <f t="shared" si="29"/>
        <v>0</v>
      </c>
      <c r="K85" s="44">
        <f t="shared" si="29"/>
        <v>0</v>
      </c>
      <c r="L85" s="43">
        <f t="shared" si="29"/>
        <v>0</v>
      </c>
      <c r="M85" s="44">
        <f t="shared" si="29"/>
        <v>0</v>
      </c>
      <c r="N85" s="43">
        <f t="shared" si="29"/>
        <v>0</v>
      </c>
      <c r="O85" s="44">
        <f t="shared" si="29"/>
        <v>0</v>
      </c>
      <c r="P85" s="43">
        <f t="shared" si="29"/>
        <v>0</v>
      </c>
      <c r="Q85" s="44">
        <f t="shared" si="29"/>
        <v>0</v>
      </c>
      <c r="R85" s="43">
        <f t="shared" si="29"/>
        <v>0</v>
      </c>
      <c r="S85" s="44">
        <f t="shared" si="29"/>
        <v>0</v>
      </c>
      <c r="T85" s="43">
        <f t="shared" si="29"/>
        <v>0</v>
      </c>
      <c r="U85" s="44">
        <f t="shared" si="29"/>
        <v>0</v>
      </c>
      <c r="V85" s="43">
        <f t="shared" si="29"/>
        <v>0</v>
      </c>
      <c r="W85" s="44">
        <f t="shared" si="29"/>
        <v>0</v>
      </c>
      <c r="X85" s="43">
        <f t="shared" si="29"/>
        <v>0</v>
      </c>
      <c r="Y85" s="44">
        <f t="shared" si="29"/>
        <v>0</v>
      </c>
      <c r="Z85" s="45"/>
      <c r="AA85" s="43">
        <f>AA78+AA79+AA80+AA81+AA82+AA83</f>
        <v>0</v>
      </c>
      <c r="AB85" s="44">
        <f>AB78+AB79+AB80+AB81+AB82+AB83</f>
        <v>0</v>
      </c>
      <c r="AC85" s="43">
        <f>AC78+AC79+AC80+AC81+AC82+AC83</f>
        <v>0</v>
      </c>
      <c r="AD85" s="43"/>
      <c r="AE85" s="44"/>
      <c r="AF85" s="43"/>
      <c r="AG85" s="44"/>
      <c r="AH85" s="43">
        <f>$AC$2-AD78</f>
        <v>0</v>
      </c>
      <c r="AI85" s="46"/>
      <c r="AJ85" s="47"/>
    </row>
    <row r="86" spans="1:36" ht="18" customHeight="1">
      <c r="A86" s="76" t="s">
        <v>18</v>
      </c>
      <c r="B86" s="77"/>
      <c r="C86" s="22" t="s">
        <v>46</v>
      </c>
      <c r="D86" s="23"/>
      <c r="E86" s="24"/>
      <c r="F86" s="23"/>
      <c r="G86" s="24"/>
      <c r="H86" s="23"/>
      <c r="I86" s="24"/>
      <c r="J86" s="23"/>
      <c r="K86" s="24"/>
      <c r="L86" s="23"/>
      <c r="M86" s="24"/>
      <c r="N86" s="23"/>
      <c r="O86" s="24"/>
      <c r="P86" s="23"/>
      <c r="Q86" s="24"/>
      <c r="R86" s="23"/>
      <c r="S86" s="24"/>
      <c r="T86" s="23"/>
      <c r="U86" s="24"/>
      <c r="V86" s="23"/>
      <c r="W86" s="24"/>
      <c r="X86" s="23"/>
      <c r="Y86" s="24"/>
      <c r="Z86" s="25"/>
      <c r="AA86" s="23">
        <f t="shared" ref="AA86:AB91" si="30">D86+F86+H86+J86+L86+N86+P86+R86+T86+V86+X86</f>
        <v>0</v>
      </c>
      <c r="AB86" s="24">
        <f t="shared" si="30"/>
        <v>0</v>
      </c>
      <c r="AC86" s="23">
        <f t="shared" ref="AC86:AC91" si="31">AA86+AB86*2</f>
        <v>0</v>
      </c>
      <c r="AD86" s="23">
        <f>AD78+AC86+AC87+AC88+AC89+AC90+AC91-(V102)</f>
        <v>0</v>
      </c>
      <c r="AE86" s="24">
        <f>AE78+AC86+AC87+AC88+AC89+AC90-((V102)-(V99+W99*2))</f>
        <v>0</v>
      </c>
      <c r="AF86" s="26">
        <f>IF($AC$2&gt;0,AD86/$AC$2,0)</f>
        <v>0</v>
      </c>
      <c r="AG86" s="27">
        <f>IF($AC$2&gt;0,AE86/$AC$2,0)</f>
        <v>0</v>
      </c>
      <c r="AH86" s="23"/>
      <c r="AI86" s="28"/>
      <c r="AJ86" s="29"/>
    </row>
    <row r="87" spans="1:36" ht="18" customHeight="1">
      <c r="A87" s="78"/>
      <c r="B87" s="77"/>
      <c r="C87" s="22" t="s">
        <v>47</v>
      </c>
      <c r="D87" s="23"/>
      <c r="E87" s="24"/>
      <c r="F87" s="23"/>
      <c r="G87" s="24"/>
      <c r="H87" s="23"/>
      <c r="I87" s="24"/>
      <c r="J87" s="23"/>
      <c r="K87" s="24"/>
      <c r="L87" s="23"/>
      <c r="M87" s="24"/>
      <c r="N87" s="23"/>
      <c r="O87" s="24"/>
      <c r="P87" s="23"/>
      <c r="Q87" s="24"/>
      <c r="R87" s="23"/>
      <c r="S87" s="24"/>
      <c r="T87" s="23"/>
      <c r="U87" s="24"/>
      <c r="V87" s="23"/>
      <c r="W87" s="24"/>
      <c r="X87" s="23"/>
      <c r="Y87" s="24"/>
      <c r="Z87" s="25"/>
      <c r="AA87" s="23">
        <f t="shared" si="30"/>
        <v>0</v>
      </c>
      <c r="AB87" s="24">
        <f t="shared" si="30"/>
        <v>0</v>
      </c>
      <c r="AC87" s="23">
        <f t="shared" si="31"/>
        <v>0</v>
      </c>
      <c r="AD87" s="23"/>
      <c r="AE87" s="24"/>
      <c r="AF87" s="23"/>
      <c r="AG87" s="24"/>
      <c r="AH87" s="23"/>
      <c r="AI87" s="28"/>
      <c r="AJ87" s="29"/>
    </row>
    <row r="88" spans="1:36" ht="18" customHeight="1">
      <c r="A88" s="78"/>
      <c r="B88" s="77"/>
      <c r="C88" s="22" t="s">
        <v>48</v>
      </c>
      <c r="D88" s="23"/>
      <c r="E88" s="24"/>
      <c r="F88" s="23"/>
      <c r="G88" s="24"/>
      <c r="H88" s="23"/>
      <c r="I88" s="24"/>
      <c r="J88" s="23"/>
      <c r="K88" s="24"/>
      <c r="L88" s="23"/>
      <c r="M88" s="24"/>
      <c r="N88" s="23"/>
      <c r="O88" s="24"/>
      <c r="P88" s="23"/>
      <c r="Q88" s="24"/>
      <c r="R88" s="23"/>
      <c r="S88" s="24"/>
      <c r="T88" s="23"/>
      <c r="U88" s="24"/>
      <c r="V88" s="23"/>
      <c r="W88" s="24"/>
      <c r="X88" s="23"/>
      <c r="Y88" s="24"/>
      <c r="Z88" s="25"/>
      <c r="AA88" s="23">
        <f t="shared" si="30"/>
        <v>0</v>
      </c>
      <c r="AB88" s="24">
        <f t="shared" si="30"/>
        <v>0</v>
      </c>
      <c r="AC88" s="23">
        <f t="shared" si="31"/>
        <v>0</v>
      </c>
      <c r="AD88" s="23"/>
      <c r="AE88" s="24"/>
      <c r="AF88" s="23"/>
      <c r="AG88" s="24"/>
      <c r="AH88" s="23"/>
      <c r="AI88" s="28"/>
      <c r="AJ88" s="29"/>
    </row>
    <row r="89" spans="1:36" ht="18" customHeight="1">
      <c r="A89" s="78"/>
      <c r="B89" s="77"/>
      <c r="C89" s="22" t="s">
        <v>49</v>
      </c>
      <c r="D89" s="23"/>
      <c r="E89" s="24"/>
      <c r="F89" s="23"/>
      <c r="G89" s="24"/>
      <c r="H89" s="23"/>
      <c r="I89" s="24"/>
      <c r="J89" s="23"/>
      <c r="K89" s="24"/>
      <c r="L89" s="23"/>
      <c r="M89" s="24"/>
      <c r="N89" s="23"/>
      <c r="O89" s="24"/>
      <c r="P89" s="23"/>
      <c r="Q89" s="24"/>
      <c r="R89" s="23"/>
      <c r="S89" s="24"/>
      <c r="T89" s="23"/>
      <c r="U89" s="24"/>
      <c r="V89" s="23"/>
      <c r="W89" s="24"/>
      <c r="X89" s="23"/>
      <c r="Y89" s="24"/>
      <c r="Z89" s="25"/>
      <c r="AA89" s="23">
        <f t="shared" si="30"/>
        <v>0</v>
      </c>
      <c r="AB89" s="24">
        <f t="shared" si="30"/>
        <v>0</v>
      </c>
      <c r="AC89" s="23">
        <f t="shared" si="31"/>
        <v>0</v>
      </c>
      <c r="AD89" s="23"/>
      <c r="AE89" s="24"/>
      <c r="AF89" s="23"/>
      <c r="AG89" s="24"/>
      <c r="AH89" s="23"/>
      <c r="AI89" s="28"/>
      <c r="AJ89" s="29"/>
    </row>
    <row r="90" spans="1:36" ht="18" customHeight="1">
      <c r="A90" s="78"/>
      <c r="B90" s="77"/>
      <c r="C90" s="22" t="s">
        <v>50</v>
      </c>
      <c r="D90" s="23"/>
      <c r="E90" s="24"/>
      <c r="F90" s="23"/>
      <c r="G90" s="24"/>
      <c r="H90" s="23"/>
      <c r="I90" s="24"/>
      <c r="J90" s="23"/>
      <c r="K90" s="24"/>
      <c r="L90" s="23"/>
      <c r="M90" s="24"/>
      <c r="N90" s="23"/>
      <c r="O90" s="24"/>
      <c r="P90" s="23"/>
      <c r="Q90" s="24"/>
      <c r="R90" s="23"/>
      <c r="S90" s="24"/>
      <c r="T90" s="23"/>
      <c r="U90" s="24"/>
      <c r="V90" s="23"/>
      <c r="W90" s="24"/>
      <c r="X90" s="23"/>
      <c r="Y90" s="24"/>
      <c r="Z90" s="25"/>
      <c r="AA90" s="23">
        <f t="shared" si="30"/>
        <v>0</v>
      </c>
      <c r="AB90" s="24">
        <f t="shared" si="30"/>
        <v>0</v>
      </c>
      <c r="AC90" s="23">
        <f t="shared" si="31"/>
        <v>0</v>
      </c>
      <c r="AD90" s="23"/>
      <c r="AE90" s="24"/>
      <c r="AF90" s="23"/>
      <c r="AG90" s="24"/>
      <c r="AH90" s="23"/>
      <c r="AI90" s="28"/>
      <c r="AJ90" s="29">
        <f>AJ82-(AA90+AB90)+(V98+W98)</f>
        <v>0</v>
      </c>
    </row>
    <row r="91" spans="1:36" ht="18" customHeight="1">
      <c r="A91" s="20" t="s">
        <v>52</v>
      </c>
      <c r="B91" s="31" t="s">
        <v>58</v>
      </c>
      <c r="C91" s="22" t="s">
        <v>51</v>
      </c>
      <c r="D91" s="23"/>
      <c r="E91" s="24"/>
      <c r="F91" s="23"/>
      <c r="G91" s="24"/>
      <c r="H91" s="23"/>
      <c r="I91" s="24"/>
      <c r="J91" s="23"/>
      <c r="K91" s="24"/>
      <c r="L91" s="23"/>
      <c r="M91" s="24"/>
      <c r="N91" s="23"/>
      <c r="O91" s="24"/>
      <c r="P91" s="23"/>
      <c r="Q91" s="24"/>
      <c r="R91" s="23"/>
      <c r="S91" s="24"/>
      <c r="T91" s="23"/>
      <c r="U91" s="24"/>
      <c r="V91" s="23"/>
      <c r="W91" s="24"/>
      <c r="X91" s="23"/>
      <c r="Y91" s="24"/>
      <c r="Z91" s="25"/>
      <c r="AA91" s="23">
        <f t="shared" si="30"/>
        <v>0</v>
      </c>
      <c r="AB91" s="24">
        <f t="shared" si="30"/>
        <v>0</v>
      </c>
      <c r="AC91" s="23">
        <f t="shared" si="31"/>
        <v>0</v>
      </c>
      <c r="AD91" s="23"/>
      <c r="AE91" s="24"/>
      <c r="AF91" s="23"/>
      <c r="AG91" s="24"/>
      <c r="AH91" s="23"/>
      <c r="AI91" s="28"/>
      <c r="AJ91" s="29"/>
    </row>
    <row r="92" spans="1:36" ht="18" customHeight="1">
      <c r="A92" s="32" t="s">
        <v>54</v>
      </c>
      <c r="B92" s="33" t="s">
        <v>35</v>
      </c>
      <c r="C92" s="34" t="s">
        <v>44</v>
      </c>
      <c r="D92" s="74"/>
      <c r="E92" s="73"/>
      <c r="F92" s="74"/>
      <c r="G92" s="73"/>
      <c r="H92" s="74"/>
      <c r="I92" s="73"/>
      <c r="J92" s="74"/>
      <c r="K92" s="73"/>
      <c r="L92" s="74"/>
      <c r="M92" s="73"/>
      <c r="N92" s="74"/>
      <c r="O92" s="73"/>
      <c r="P92" s="74"/>
      <c r="Q92" s="73"/>
      <c r="R92" s="74"/>
      <c r="S92" s="73"/>
      <c r="T92" s="74"/>
      <c r="U92" s="73"/>
      <c r="V92" s="74"/>
      <c r="W92" s="73"/>
      <c r="X92" s="74"/>
      <c r="Y92" s="73"/>
      <c r="Z92" s="36"/>
      <c r="AA92" s="74">
        <f>D92+F92+H92+J92+L92+N92+P92+R92+T92+V92+X92</f>
        <v>0</v>
      </c>
      <c r="AB92" s="73"/>
      <c r="AC92" s="35"/>
      <c r="AD92" s="35">
        <f>AD84+AA92-(V103)</f>
        <v>0</v>
      </c>
      <c r="AE92" s="37">
        <f>AD92-(AD86-AE86)*2</f>
        <v>0</v>
      </c>
      <c r="AF92" s="38">
        <f>IF($AF$2&gt;0,AD92/$AF$2,0)</f>
        <v>0</v>
      </c>
      <c r="AG92" s="39">
        <f>IF($AF$2&gt;0,AE92/$AF$2,0)</f>
        <v>0</v>
      </c>
      <c r="AH92" s="35"/>
      <c r="AI92" s="40">
        <f>$AF$2-AD92</f>
        <v>0</v>
      </c>
      <c r="AJ92" s="41"/>
    </row>
    <row r="93" spans="1:36" ht="18" customHeight="1">
      <c r="A93" s="87"/>
      <c r="B93" s="88"/>
      <c r="C93" s="42" t="s">
        <v>20</v>
      </c>
      <c r="D93" s="43">
        <f t="shared" ref="D93:Y93" si="32">D86+D87+D88+D89+D90+D91</f>
        <v>0</v>
      </c>
      <c r="E93" s="44">
        <f t="shared" si="32"/>
        <v>0</v>
      </c>
      <c r="F93" s="43">
        <f t="shared" si="32"/>
        <v>0</v>
      </c>
      <c r="G93" s="44">
        <f t="shared" si="32"/>
        <v>0</v>
      </c>
      <c r="H93" s="43">
        <f t="shared" si="32"/>
        <v>0</v>
      </c>
      <c r="I93" s="44">
        <f t="shared" si="32"/>
        <v>0</v>
      </c>
      <c r="J93" s="43">
        <f t="shared" si="32"/>
        <v>0</v>
      </c>
      <c r="K93" s="44">
        <f t="shared" si="32"/>
        <v>0</v>
      </c>
      <c r="L93" s="43">
        <f t="shared" si="32"/>
        <v>0</v>
      </c>
      <c r="M93" s="44">
        <f t="shared" si="32"/>
        <v>0</v>
      </c>
      <c r="N93" s="43">
        <f t="shared" si="32"/>
        <v>0</v>
      </c>
      <c r="O93" s="44">
        <f t="shared" si="32"/>
        <v>0</v>
      </c>
      <c r="P93" s="43">
        <f t="shared" si="32"/>
        <v>0</v>
      </c>
      <c r="Q93" s="44">
        <f t="shared" si="32"/>
        <v>0</v>
      </c>
      <c r="R93" s="43">
        <f t="shared" si="32"/>
        <v>0</v>
      </c>
      <c r="S93" s="44">
        <f t="shared" si="32"/>
        <v>0</v>
      </c>
      <c r="T93" s="43">
        <f t="shared" si="32"/>
        <v>0</v>
      </c>
      <c r="U93" s="44">
        <f t="shared" si="32"/>
        <v>0</v>
      </c>
      <c r="V93" s="43">
        <f t="shared" si="32"/>
        <v>0</v>
      </c>
      <c r="W93" s="44">
        <f t="shared" si="32"/>
        <v>0</v>
      </c>
      <c r="X93" s="43">
        <f t="shared" si="32"/>
        <v>0</v>
      </c>
      <c r="Y93" s="44">
        <f t="shared" si="32"/>
        <v>0</v>
      </c>
      <c r="Z93" s="45"/>
      <c r="AA93" s="43">
        <f>AA86+AA87+AA88+AA89+AA90+AA91</f>
        <v>0</v>
      </c>
      <c r="AB93" s="44">
        <f>AB86+AB87+AB88+AB89+AB90+AB91</f>
        <v>0</v>
      </c>
      <c r="AC93" s="43">
        <f>AC86+AC87+AC88+AC89+AC90+AC91</f>
        <v>0</v>
      </c>
      <c r="AD93" s="43"/>
      <c r="AE93" s="44"/>
      <c r="AF93" s="43"/>
      <c r="AG93" s="44"/>
      <c r="AH93" s="43">
        <f>$AC$2-AD86</f>
        <v>0</v>
      </c>
      <c r="AI93" s="46"/>
      <c r="AJ93" s="47"/>
    </row>
    <row r="94" spans="1:36" ht="18" customHeight="1">
      <c r="A94" s="20" t="s">
        <v>19</v>
      </c>
      <c r="B94" s="21"/>
      <c r="C94" s="22" t="s">
        <v>46</v>
      </c>
      <c r="D94" s="23">
        <f t="shared" ref="D94:Y94" si="33">D6+D14+D22+D30+D38+D46+D54+D62+D70+D78+D86</f>
        <v>0</v>
      </c>
      <c r="E94" s="24">
        <f t="shared" si="33"/>
        <v>0</v>
      </c>
      <c r="F94" s="23">
        <f t="shared" si="33"/>
        <v>0</v>
      </c>
      <c r="G94" s="24">
        <f t="shared" si="33"/>
        <v>0</v>
      </c>
      <c r="H94" s="23">
        <f t="shared" si="33"/>
        <v>0</v>
      </c>
      <c r="I94" s="24">
        <f t="shared" si="33"/>
        <v>0</v>
      </c>
      <c r="J94" s="23">
        <f t="shared" si="33"/>
        <v>0</v>
      </c>
      <c r="K94" s="24">
        <f t="shared" si="33"/>
        <v>0</v>
      </c>
      <c r="L94" s="23">
        <f t="shared" si="33"/>
        <v>0</v>
      </c>
      <c r="M94" s="24">
        <f t="shared" si="33"/>
        <v>0</v>
      </c>
      <c r="N94" s="23">
        <f t="shared" si="33"/>
        <v>0</v>
      </c>
      <c r="O94" s="24">
        <f t="shared" si="33"/>
        <v>0</v>
      </c>
      <c r="P94" s="23">
        <f t="shared" si="33"/>
        <v>0</v>
      </c>
      <c r="Q94" s="24">
        <f t="shared" si="33"/>
        <v>0</v>
      </c>
      <c r="R94" s="23">
        <f t="shared" si="33"/>
        <v>0</v>
      </c>
      <c r="S94" s="24">
        <f t="shared" si="33"/>
        <v>0</v>
      </c>
      <c r="T94" s="23">
        <f t="shared" si="33"/>
        <v>0</v>
      </c>
      <c r="U94" s="24">
        <f t="shared" si="33"/>
        <v>0</v>
      </c>
      <c r="V94" s="23">
        <f t="shared" si="33"/>
        <v>0</v>
      </c>
      <c r="W94" s="24">
        <f t="shared" si="33"/>
        <v>0</v>
      </c>
      <c r="X94" s="23">
        <f t="shared" si="33"/>
        <v>0</v>
      </c>
      <c r="Y94" s="24">
        <f t="shared" si="33"/>
        <v>0</v>
      </c>
      <c r="Z94" s="25"/>
      <c r="AA94" s="23">
        <f t="shared" ref="AA94:AB99" si="34">D94+F94+H94+J94+L94+N94+P94+R94+T94+V94+X94</f>
        <v>0</v>
      </c>
      <c r="AB94" s="24">
        <f t="shared" si="34"/>
        <v>0</v>
      </c>
      <c r="AC94" s="23">
        <f t="shared" ref="AC94:AC99" si="35">AA94+AB94*2</f>
        <v>0</v>
      </c>
      <c r="AD94" s="23"/>
      <c r="AE94" s="24"/>
      <c r="AF94" s="23"/>
      <c r="AG94" s="24"/>
      <c r="AH94" s="23"/>
      <c r="AI94" s="28"/>
      <c r="AJ94" s="29"/>
    </row>
    <row r="95" spans="1:36" ht="18" customHeight="1">
      <c r="A95" s="30"/>
      <c r="B95" s="21"/>
      <c r="C95" s="22" t="s">
        <v>47</v>
      </c>
      <c r="D95" s="23">
        <f t="shared" ref="D95:Y95" si="36">D7+D15+D23+D31+D39+D47+D55+D63+D71+D79+D87</f>
        <v>0</v>
      </c>
      <c r="E95" s="24">
        <f t="shared" si="36"/>
        <v>0</v>
      </c>
      <c r="F95" s="23">
        <f t="shared" si="36"/>
        <v>0</v>
      </c>
      <c r="G95" s="24">
        <f t="shared" si="36"/>
        <v>0</v>
      </c>
      <c r="H95" s="23">
        <f t="shared" si="36"/>
        <v>0</v>
      </c>
      <c r="I95" s="24">
        <f t="shared" si="36"/>
        <v>0</v>
      </c>
      <c r="J95" s="23">
        <f t="shared" si="36"/>
        <v>0</v>
      </c>
      <c r="K95" s="24">
        <f t="shared" si="36"/>
        <v>0</v>
      </c>
      <c r="L95" s="23">
        <f t="shared" si="36"/>
        <v>0</v>
      </c>
      <c r="M95" s="24">
        <f t="shared" si="36"/>
        <v>0</v>
      </c>
      <c r="N95" s="23">
        <f t="shared" si="36"/>
        <v>0</v>
      </c>
      <c r="O95" s="24">
        <f t="shared" si="36"/>
        <v>0</v>
      </c>
      <c r="P95" s="23">
        <f t="shared" si="36"/>
        <v>0</v>
      </c>
      <c r="Q95" s="24">
        <f t="shared" si="36"/>
        <v>0</v>
      </c>
      <c r="R95" s="23">
        <f t="shared" si="36"/>
        <v>0</v>
      </c>
      <c r="S95" s="24">
        <f t="shared" si="36"/>
        <v>0</v>
      </c>
      <c r="T95" s="23">
        <f t="shared" si="36"/>
        <v>0</v>
      </c>
      <c r="U95" s="24">
        <f t="shared" si="36"/>
        <v>0</v>
      </c>
      <c r="V95" s="23">
        <f t="shared" si="36"/>
        <v>0</v>
      </c>
      <c r="W95" s="24">
        <f t="shared" si="36"/>
        <v>0</v>
      </c>
      <c r="X95" s="23">
        <f t="shared" si="36"/>
        <v>0</v>
      </c>
      <c r="Y95" s="24">
        <f t="shared" si="36"/>
        <v>0</v>
      </c>
      <c r="Z95" s="25"/>
      <c r="AA95" s="23">
        <f t="shared" si="34"/>
        <v>0</v>
      </c>
      <c r="AB95" s="24">
        <f t="shared" si="34"/>
        <v>0</v>
      </c>
      <c r="AC95" s="23">
        <f t="shared" si="35"/>
        <v>0</v>
      </c>
      <c r="AD95" s="23"/>
      <c r="AE95" s="24"/>
      <c r="AF95" s="23"/>
      <c r="AG95" s="24"/>
      <c r="AH95" s="23"/>
      <c r="AI95" s="28"/>
      <c r="AJ95" s="29"/>
    </row>
    <row r="96" spans="1:36" ht="18" customHeight="1">
      <c r="A96" s="30"/>
      <c r="B96" s="21"/>
      <c r="C96" s="22" t="s">
        <v>48</v>
      </c>
      <c r="D96" s="23">
        <f t="shared" ref="D96:Y96" si="37">D8+D16+D24+D32+D40+D48+D56+D64+D72+D80+D88</f>
        <v>0</v>
      </c>
      <c r="E96" s="24">
        <f t="shared" si="37"/>
        <v>0</v>
      </c>
      <c r="F96" s="23">
        <f t="shared" si="37"/>
        <v>0</v>
      </c>
      <c r="G96" s="24">
        <f t="shared" si="37"/>
        <v>0</v>
      </c>
      <c r="H96" s="23">
        <f t="shared" si="37"/>
        <v>0</v>
      </c>
      <c r="I96" s="24">
        <f t="shared" si="37"/>
        <v>0</v>
      </c>
      <c r="J96" s="23">
        <f t="shared" si="37"/>
        <v>0</v>
      </c>
      <c r="K96" s="24">
        <f t="shared" si="37"/>
        <v>0</v>
      </c>
      <c r="L96" s="23">
        <f t="shared" si="37"/>
        <v>0</v>
      </c>
      <c r="M96" s="24">
        <f t="shared" si="37"/>
        <v>0</v>
      </c>
      <c r="N96" s="23">
        <f t="shared" si="37"/>
        <v>0</v>
      </c>
      <c r="O96" s="24">
        <f t="shared" si="37"/>
        <v>0</v>
      </c>
      <c r="P96" s="23">
        <f t="shared" si="37"/>
        <v>0</v>
      </c>
      <c r="Q96" s="24">
        <f t="shared" si="37"/>
        <v>0</v>
      </c>
      <c r="R96" s="23">
        <f t="shared" si="37"/>
        <v>0</v>
      </c>
      <c r="S96" s="24">
        <f t="shared" si="37"/>
        <v>0</v>
      </c>
      <c r="T96" s="23">
        <f t="shared" si="37"/>
        <v>0</v>
      </c>
      <c r="U96" s="24">
        <f t="shared" si="37"/>
        <v>0</v>
      </c>
      <c r="V96" s="23">
        <f t="shared" si="37"/>
        <v>0</v>
      </c>
      <c r="W96" s="24">
        <f t="shared" si="37"/>
        <v>0</v>
      </c>
      <c r="X96" s="23">
        <f t="shared" si="37"/>
        <v>0</v>
      </c>
      <c r="Y96" s="24">
        <f t="shared" si="37"/>
        <v>0</v>
      </c>
      <c r="Z96" s="25"/>
      <c r="AA96" s="23">
        <f t="shared" si="34"/>
        <v>0</v>
      </c>
      <c r="AB96" s="24">
        <f t="shared" si="34"/>
        <v>0</v>
      </c>
      <c r="AC96" s="23">
        <f t="shared" si="35"/>
        <v>0</v>
      </c>
      <c r="AD96" s="23"/>
      <c r="AE96" s="24"/>
      <c r="AF96" s="23"/>
      <c r="AG96" s="24"/>
      <c r="AH96" s="23"/>
      <c r="AI96" s="28"/>
      <c r="AJ96" s="29"/>
    </row>
    <row r="97" spans="1:36" ht="18" customHeight="1">
      <c r="A97" s="30"/>
      <c r="B97" s="21"/>
      <c r="C97" s="22" t="s">
        <v>49</v>
      </c>
      <c r="D97" s="23">
        <f t="shared" ref="D97:Y97" si="38">D9+D17+D25+D33+D41+D49+D57+D65+D73+D81+D89</f>
        <v>0</v>
      </c>
      <c r="E97" s="24">
        <f t="shared" si="38"/>
        <v>0</v>
      </c>
      <c r="F97" s="23">
        <f t="shared" si="38"/>
        <v>0</v>
      </c>
      <c r="G97" s="24">
        <f t="shared" si="38"/>
        <v>0</v>
      </c>
      <c r="H97" s="23">
        <f t="shared" si="38"/>
        <v>0</v>
      </c>
      <c r="I97" s="24">
        <f t="shared" si="38"/>
        <v>0</v>
      </c>
      <c r="J97" s="23">
        <f t="shared" si="38"/>
        <v>0</v>
      </c>
      <c r="K97" s="24">
        <f t="shared" si="38"/>
        <v>0</v>
      </c>
      <c r="L97" s="23">
        <f t="shared" si="38"/>
        <v>0</v>
      </c>
      <c r="M97" s="24">
        <f t="shared" si="38"/>
        <v>0</v>
      </c>
      <c r="N97" s="23">
        <f t="shared" si="38"/>
        <v>0</v>
      </c>
      <c r="O97" s="24">
        <f t="shared" si="38"/>
        <v>0</v>
      </c>
      <c r="P97" s="23">
        <f t="shared" si="38"/>
        <v>0</v>
      </c>
      <c r="Q97" s="24">
        <f t="shared" si="38"/>
        <v>0</v>
      </c>
      <c r="R97" s="23">
        <f t="shared" si="38"/>
        <v>0</v>
      </c>
      <c r="S97" s="24">
        <f t="shared" si="38"/>
        <v>0</v>
      </c>
      <c r="T97" s="23">
        <f t="shared" si="38"/>
        <v>0</v>
      </c>
      <c r="U97" s="24">
        <f t="shared" si="38"/>
        <v>0</v>
      </c>
      <c r="V97" s="23">
        <f t="shared" si="38"/>
        <v>0</v>
      </c>
      <c r="W97" s="24">
        <f t="shared" si="38"/>
        <v>0</v>
      </c>
      <c r="X97" s="23">
        <f t="shared" si="38"/>
        <v>0</v>
      </c>
      <c r="Y97" s="24">
        <f t="shared" si="38"/>
        <v>0</v>
      </c>
      <c r="Z97" s="25"/>
      <c r="AA97" s="23">
        <f t="shared" si="34"/>
        <v>0</v>
      </c>
      <c r="AB97" s="24">
        <f t="shared" si="34"/>
        <v>0</v>
      </c>
      <c r="AC97" s="23">
        <f t="shared" si="35"/>
        <v>0</v>
      </c>
      <c r="AD97" s="23"/>
      <c r="AE97" s="24"/>
      <c r="AF97" s="23"/>
      <c r="AG97" s="24"/>
      <c r="AH97" s="23"/>
      <c r="AI97" s="28"/>
      <c r="AJ97" s="29"/>
    </row>
    <row r="98" spans="1:36" ht="18" customHeight="1">
      <c r="A98" s="30"/>
      <c r="B98" s="21"/>
      <c r="C98" s="22" t="s">
        <v>50</v>
      </c>
      <c r="D98" s="23">
        <f t="shared" ref="D98:Y98" si="39">D10+D18+D26+D34+D42+D50+D58+D66+D74+D82+D90</f>
        <v>0</v>
      </c>
      <c r="E98" s="24">
        <f t="shared" si="39"/>
        <v>0</v>
      </c>
      <c r="F98" s="23">
        <f t="shared" si="39"/>
        <v>0</v>
      </c>
      <c r="G98" s="24">
        <f t="shared" si="39"/>
        <v>0</v>
      </c>
      <c r="H98" s="23">
        <f t="shared" si="39"/>
        <v>0</v>
      </c>
      <c r="I98" s="24">
        <f t="shared" si="39"/>
        <v>0</v>
      </c>
      <c r="J98" s="23">
        <f t="shared" si="39"/>
        <v>0</v>
      </c>
      <c r="K98" s="24">
        <f t="shared" si="39"/>
        <v>0</v>
      </c>
      <c r="L98" s="23">
        <f t="shared" si="39"/>
        <v>0</v>
      </c>
      <c r="M98" s="24">
        <f t="shared" si="39"/>
        <v>0</v>
      </c>
      <c r="N98" s="23">
        <f t="shared" si="39"/>
        <v>0</v>
      </c>
      <c r="O98" s="24">
        <f t="shared" si="39"/>
        <v>0</v>
      </c>
      <c r="P98" s="23">
        <f t="shared" si="39"/>
        <v>0</v>
      </c>
      <c r="Q98" s="24">
        <f t="shared" si="39"/>
        <v>0</v>
      </c>
      <c r="R98" s="23">
        <f t="shared" si="39"/>
        <v>0</v>
      </c>
      <c r="S98" s="24">
        <f t="shared" si="39"/>
        <v>0</v>
      </c>
      <c r="T98" s="23">
        <f t="shared" si="39"/>
        <v>0</v>
      </c>
      <c r="U98" s="24">
        <f t="shared" si="39"/>
        <v>0</v>
      </c>
      <c r="V98" s="23">
        <f t="shared" si="39"/>
        <v>0</v>
      </c>
      <c r="W98" s="24">
        <f t="shared" si="39"/>
        <v>0</v>
      </c>
      <c r="X98" s="23">
        <f t="shared" si="39"/>
        <v>0</v>
      </c>
      <c r="Y98" s="24">
        <f t="shared" si="39"/>
        <v>0</v>
      </c>
      <c r="Z98" s="25"/>
      <c r="AA98" s="23">
        <f t="shared" si="34"/>
        <v>0</v>
      </c>
      <c r="AB98" s="24">
        <f t="shared" si="34"/>
        <v>0</v>
      </c>
      <c r="AC98" s="23">
        <f t="shared" si="35"/>
        <v>0</v>
      </c>
      <c r="AD98" s="23"/>
      <c r="AE98" s="24"/>
      <c r="AF98" s="23"/>
      <c r="AG98" s="24"/>
      <c r="AH98" s="23"/>
      <c r="AI98" s="28"/>
      <c r="AJ98" s="29"/>
    </row>
    <row r="99" spans="1:36" ht="18" customHeight="1">
      <c r="A99" s="20"/>
      <c r="B99" s="48"/>
      <c r="C99" s="22" t="s">
        <v>51</v>
      </c>
      <c r="D99" s="23">
        <f t="shared" ref="D99:Y99" si="40">D11+D19+D27+D35+D43+D51+D59+D67+D75+D83+D91</f>
        <v>0</v>
      </c>
      <c r="E99" s="24">
        <f t="shared" si="40"/>
        <v>0</v>
      </c>
      <c r="F99" s="23">
        <f t="shared" si="40"/>
        <v>0</v>
      </c>
      <c r="G99" s="24">
        <f t="shared" si="40"/>
        <v>0</v>
      </c>
      <c r="H99" s="23">
        <f t="shared" si="40"/>
        <v>0</v>
      </c>
      <c r="I99" s="24">
        <f t="shared" si="40"/>
        <v>0</v>
      </c>
      <c r="J99" s="23">
        <f t="shared" si="40"/>
        <v>0</v>
      </c>
      <c r="K99" s="24">
        <f t="shared" si="40"/>
        <v>0</v>
      </c>
      <c r="L99" s="23">
        <f t="shared" si="40"/>
        <v>0</v>
      </c>
      <c r="M99" s="24">
        <f t="shared" si="40"/>
        <v>0</v>
      </c>
      <c r="N99" s="23">
        <f t="shared" si="40"/>
        <v>0</v>
      </c>
      <c r="O99" s="24">
        <f t="shared" si="40"/>
        <v>0</v>
      </c>
      <c r="P99" s="23">
        <f t="shared" si="40"/>
        <v>0</v>
      </c>
      <c r="Q99" s="24">
        <f t="shared" si="40"/>
        <v>0</v>
      </c>
      <c r="R99" s="23">
        <f t="shared" si="40"/>
        <v>0</v>
      </c>
      <c r="S99" s="24">
        <f t="shared" si="40"/>
        <v>0</v>
      </c>
      <c r="T99" s="23">
        <f t="shared" si="40"/>
        <v>0</v>
      </c>
      <c r="U99" s="24">
        <f t="shared" si="40"/>
        <v>0</v>
      </c>
      <c r="V99" s="23">
        <f t="shared" si="40"/>
        <v>0</v>
      </c>
      <c r="W99" s="24">
        <f t="shared" si="40"/>
        <v>0</v>
      </c>
      <c r="X99" s="23">
        <f t="shared" si="40"/>
        <v>0</v>
      </c>
      <c r="Y99" s="24">
        <f t="shared" si="40"/>
        <v>0</v>
      </c>
      <c r="Z99" s="25"/>
      <c r="AA99" s="23">
        <f t="shared" si="34"/>
        <v>0</v>
      </c>
      <c r="AB99" s="24">
        <f t="shared" si="34"/>
        <v>0</v>
      </c>
      <c r="AC99" s="23">
        <f t="shared" si="35"/>
        <v>0</v>
      </c>
      <c r="AD99" s="23"/>
      <c r="AE99" s="24"/>
      <c r="AF99" s="23"/>
      <c r="AG99" s="24"/>
      <c r="AH99" s="23"/>
      <c r="AI99" s="28"/>
      <c r="AJ99" s="29"/>
    </row>
    <row r="100" spans="1:36" ht="18" customHeight="1">
      <c r="A100" s="32"/>
      <c r="B100" s="49"/>
      <c r="C100" s="34" t="s">
        <v>44</v>
      </c>
      <c r="D100" s="74">
        <f>D12+D20+D28+D36+D44+D52+D60+D68+D76+D84+D92</f>
        <v>0</v>
      </c>
      <c r="E100" s="73"/>
      <c r="F100" s="74">
        <f>F12+F20+F28+F36+F44+F52+F60+F68+F76+F84+F92</f>
        <v>0</v>
      </c>
      <c r="G100" s="73"/>
      <c r="H100" s="74">
        <f>H12+H20+H28+H36+H44+H52+H60+H68+H76+H84+H92</f>
        <v>0</v>
      </c>
      <c r="I100" s="73"/>
      <c r="J100" s="74">
        <f>J12+J20+J28+J36+J44+J52+J60+J68+J76+J84+J92</f>
        <v>0</v>
      </c>
      <c r="K100" s="73"/>
      <c r="L100" s="74">
        <f>L12+L20+L28+L36+L44+L52+L60+L68+L76+L84+L92</f>
        <v>0</v>
      </c>
      <c r="M100" s="73"/>
      <c r="N100" s="74">
        <f>N12+N20+N28+N36+N44+N52+N60+N68+N76+N84+N92</f>
        <v>0</v>
      </c>
      <c r="O100" s="73"/>
      <c r="P100" s="74">
        <f>P12+P20+P28+P36+P44+P52+P60+P68+P76+P84+P92</f>
        <v>0</v>
      </c>
      <c r="Q100" s="73"/>
      <c r="R100" s="74">
        <f>R12+R20+R28+R36+R44+R52+R60+R68+R76+R84+R92</f>
        <v>0</v>
      </c>
      <c r="S100" s="73"/>
      <c r="T100" s="74">
        <f>T12+T20+T28+T36+T44+T52+T60+T68+T76+T84+T92</f>
        <v>0</v>
      </c>
      <c r="U100" s="73"/>
      <c r="V100" s="74">
        <f>V12+V20+V28+V36+V44+V52+V60+V68+V76+V84+V92</f>
        <v>0</v>
      </c>
      <c r="W100" s="73"/>
      <c r="X100" s="74">
        <f>X12+X20+X28+X36+X44+X52+X60+X68+X76+X84+X92</f>
        <v>0</v>
      </c>
      <c r="Y100" s="73"/>
      <c r="Z100" s="36"/>
      <c r="AA100" s="74">
        <f>D100+F100+H100+J100+L100+N100+P100+R100+T100+V100+X100</f>
        <v>0</v>
      </c>
      <c r="AB100" s="73"/>
      <c r="AC100" s="35"/>
      <c r="AD100" s="35"/>
      <c r="AE100" s="37"/>
      <c r="AF100" s="50"/>
      <c r="AG100" s="51"/>
      <c r="AH100" s="35"/>
      <c r="AI100" s="40"/>
      <c r="AJ100" s="41"/>
    </row>
    <row r="101" spans="1:36" ht="18" customHeight="1">
      <c r="A101" s="87"/>
      <c r="B101" s="88"/>
      <c r="C101" s="42" t="s">
        <v>20</v>
      </c>
      <c r="D101" s="52">
        <f t="shared" ref="D101:Y101" si="41">D94+D95+D96+D97+D98+D99</f>
        <v>0</v>
      </c>
      <c r="E101" s="53">
        <f t="shared" si="41"/>
        <v>0</v>
      </c>
      <c r="F101" s="52">
        <f t="shared" si="41"/>
        <v>0</v>
      </c>
      <c r="G101" s="53">
        <f t="shared" si="41"/>
        <v>0</v>
      </c>
      <c r="H101" s="52">
        <f t="shared" si="41"/>
        <v>0</v>
      </c>
      <c r="I101" s="53">
        <f t="shared" si="41"/>
        <v>0</v>
      </c>
      <c r="J101" s="52">
        <f t="shared" si="41"/>
        <v>0</v>
      </c>
      <c r="K101" s="53">
        <f t="shared" si="41"/>
        <v>0</v>
      </c>
      <c r="L101" s="52">
        <f t="shared" si="41"/>
        <v>0</v>
      </c>
      <c r="M101" s="53">
        <f t="shared" si="41"/>
        <v>0</v>
      </c>
      <c r="N101" s="52">
        <f t="shared" si="41"/>
        <v>0</v>
      </c>
      <c r="O101" s="53">
        <f t="shared" si="41"/>
        <v>0</v>
      </c>
      <c r="P101" s="52">
        <f t="shared" si="41"/>
        <v>0</v>
      </c>
      <c r="Q101" s="53">
        <f t="shared" si="41"/>
        <v>0</v>
      </c>
      <c r="R101" s="52">
        <f t="shared" si="41"/>
        <v>0</v>
      </c>
      <c r="S101" s="53">
        <f t="shared" si="41"/>
        <v>0</v>
      </c>
      <c r="T101" s="52">
        <f t="shared" si="41"/>
        <v>0</v>
      </c>
      <c r="U101" s="53">
        <f t="shared" si="41"/>
        <v>0</v>
      </c>
      <c r="V101" s="52">
        <f t="shared" si="41"/>
        <v>0</v>
      </c>
      <c r="W101" s="53">
        <f t="shared" si="41"/>
        <v>0</v>
      </c>
      <c r="X101" s="52">
        <f t="shared" si="41"/>
        <v>0</v>
      </c>
      <c r="Y101" s="53">
        <f t="shared" si="41"/>
        <v>0</v>
      </c>
      <c r="Z101" s="54"/>
      <c r="AA101" s="52">
        <f>D101+F101+H101+J101+L101+N101+P101+R101+T101+V101+X101</f>
        <v>0</v>
      </c>
      <c r="AB101" s="53">
        <f>E101+G101+I101+K101+M101+O101+Q101+S101+U101+W101+Y101</f>
        <v>0</v>
      </c>
      <c r="AC101" s="52">
        <f>AA101+AB101*2</f>
        <v>0</v>
      </c>
      <c r="AD101" s="52"/>
      <c r="AE101" s="53"/>
      <c r="AF101" s="52"/>
      <c r="AG101" s="53"/>
      <c r="AH101" s="52"/>
      <c r="AI101" s="55"/>
      <c r="AJ101" s="56"/>
    </row>
    <row r="102" spans="1:36" ht="18" customHeight="1">
      <c r="A102" s="97" t="s">
        <v>40</v>
      </c>
      <c r="B102" s="98"/>
      <c r="C102" s="99"/>
      <c r="D102" s="72">
        <f>D94+E94*2+D95+E95*2+D96+E96*2+D97+E97*2+D98+E98*2+D99+E99*2</f>
        <v>0</v>
      </c>
      <c r="E102" s="73"/>
      <c r="F102" s="72">
        <f>F94+G94*2+F95+G95*2+F96+G96*2+F97+G97*2+F98+G98*2+F99+G99*2</f>
        <v>0</v>
      </c>
      <c r="G102" s="73"/>
      <c r="H102" s="72">
        <f>H94+I94*2+H95+I95*2+H96+I96*2+H97+I97*2+H98+I98*2+H99+I99*2</f>
        <v>0</v>
      </c>
      <c r="I102" s="73"/>
      <c r="J102" s="72">
        <f>J94+K94*2+J95+K95*2+J96+K96*2+J97+K97*2+J98+K98*2+J99+K99*2</f>
        <v>0</v>
      </c>
      <c r="K102" s="73"/>
      <c r="L102" s="72">
        <f>L94+M94*2+L95+M95*2+L96+M96*2+L97+M97*2+L98+M98*2+L99+M99*2</f>
        <v>0</v>
      </c>
      <c r="M102" s="73"/>
      <c r="N102" s="72">
        <f>N94+O94*2+N95+O95*2+N96+O96*2+N97+O97*2+N98+O98*2+N99+O99*2</f>
        <v>0</v>
      </c>
      <c r="O102" s="73"/>
      <c r="P102" s="72">
        <f>P94+Q94*2+P95+Q95*2+P96+Q96*2+P97+Q97*2+P98+Q98*2+P99+Q99*2</f>
        <v>0</v>
      </c>
      <c r="Q102" s="73"/>
      <c r="R102" s="72">
        <f>R94+S94*2+R95+S95*2+R96+S96*2+R97+S97*2+R98+S98*2+R99+S99*2</f>
        <v>0</v>
      </c>
      <c r="S102" s="73"/>
      <c r="T102" s="72">
        <f>T94+U94*2+T95+U95*2+T96+U96*2+T97+U97*2+T98+U98*2+T99+U99*2</f>
        <v>0</v>
      </c>
      <c r="U102" s="73"/>
      <c r="V102" s="72">
        <f>V94+W94*2+V95+W95*2+V96+W96*2+V97+W97*2+V98+W98*2+V99+W99*2</f>
        <v>0</v>
      </c>
      <c r="W102" s="73"/>
      <c r="X102" s="72">
        <f>X94+Y94*2+X95+Y95*2+X96+Y96*2+X97+Y97*2+X98+Y98*2+X99+Y99*2</f>
        <v>0</v>
      </c>
      <c r="Y102" s="73"/>
      <c r="Z102" s="36"/>
      <c r="AA102" s="72"/>
      <c r="AB102" s="73"/>
      <c r="AC102" s="57"/>
      <c r="AD102" s="57"/>
      <c r="AE102" s="58"/>
      <c r="AF102" s="57"/>
      <c r="AG102" s="58"/>
      <c r="AH102" s="57"/>
      <c r="AI102" s="59"/>
      <c r="AJ102" s="60"/>
    </row>
    <row r="103" spans="1:36" ht="18" customHeight="1">
      <c r="A103" s="97" t="s">
        <v>59</v>
      </c>
      <c r="B103" s="98"/>
      <c r="C103" s="99"/>
      <c r="D103" s="75">
        <f>D100</f>
        <v>0</v>
      </c>
      <c r="E103" s="73"/>
      <c r="F103" s="75">
        <f>F100</f>
        <v>0</v>
      </c>
      <c r="G103" s="73"/>
      <c r="H103" s="75">
        <f>H100</f>
        <v>0</v>
      </c>
      <c r="I103" s="73"/>
      <c r="J103" s="75">
        <f>J100</f>
        <v>0</v>
      </c>
      <c r="K103" s="73"/>
      <c r="L103" s="75">
        <f>L100</f>
        <v>0</v>
      </c>
      <c r="M103" s="73"/>
      <c r="N103" s="75">
        <f>N100</f>
        <v>0</v>
      </c>
      <c r="O103" s="73"/>
      <c r="P103" s="75">
        <f>P100</f>
        <v>0</v>
      </c>
      <c r="Q103" s="73"/>
      <c r="R103" s="75">
        <f>R100</f>
        <v>0</v>
      </c>
      <c r="S103" s="73"/>
      <c r="T103" s="75">
        <f>T100</f>
        <v>0</v>
      </c>
      <c r="U103" s="73"/>
      <c r="V103" s="75">
        <f>V100</f>
        <v>0</v>
      </c>
      <c r="W103" s="73"/>
      <c r="X103" s="75">
        <f>X100</f>
        <v>0</v>
      </c>
      <c r="Y103" s="73"/>
      <c r="Z103" s="36"/>
      <c r="AA103" s="75"/>
      <c r="AB103" s="73"/>
      <c r="AC103" s="61"/>
      <c r="AD103" s="61"/>
      <c r="AE103" s="62"/>
      <c r="AF103" s="57"/>
      <c r="AG103" s="58"/>
      <c r="AH103" s="61"/>
      <c r="AI103" s="59"/>
      <c r="AJ103" s="63"/>
    </row>
    <row r="104" spans="1:36" ht="18" customHeight="1">
      <c r="A104" s="64"/>
      <c r="B104" s="49"/>
      <c r="C104" s="65"/>
      <c r="D104" s="50"/>
      <c r="E104" s="51"/>
      <c r="F104" s="50"/>
      <c r="G104" s="51"/>
      <c r="H104" s="50"/>
      <c r="I104" s="51"/>
      <c r="J104" s="50"/>
      <c r="K104" s="51"/>
      <c r="L104" s="50"/>
      <c r="M104" s="51"/>
      <c r="N104" s="50"/>
      <c r="O104" s="51"/>
      <c r="P104" s="50"/>
      <c r="Q104" s="51"/>
      <c r="R104" s="50"/>
      <c r="S104" s="51"/>
      <c r="T104" s="50"/>
      <c r="U104" s="51"/>
      <c r="V104" s="50"/>
      <c r="W104" s="51"/>
      <c r="X104" s="50"/>
      <c r="Y104" s="51"/>
      <c r="Z104" s="66"/>
      <c r="AA104" s="50"/>
      <c r="AB104" s="51"/>
      <c r="AC104" s="50"/>
      <c r="AD104" s="50"/>
      <c r="AE104" s="51"/>
      <c r="AF104" s="50"/>
      <c r="AG104" s="51"/>
      <c r="AH104" s="50"/>
      <c r="AI104" s="40"/>
      <c r="AJ104" s="67"/>
    </row>
    <row r="105" spans="1:36" ht="18" customHeight="1">
      <c r="A105" s="64"/>
      <c r="B105" s="49"/>
      <c r="C105" s="65"/>
      <c r="D105" s="50"/>
      <c r="E105" s="51"/>
      <c r="F105" s="50"/>
      <c r="G105" s="51"/>
      <c r="H105" s="50"/>
      <c r="I105" s="51"/>
      <c r="J105" s="50"/>
      <c r="K105" s="51"/>
      <c r="L105" s="50"/>
      <c r="M105" s="51"/>
      <c r="N105" s="50"/>
      <c r="O105" s="51"/>
      <c r="P105" s="50"/>
      <c r="Q105" s="51"/>
      <c r="R105" s="50"/>
      <c r="S105" s="51"/>
      <c r="T105" s="50"/>
      <c r="U105" s="51"/>
      <c r="V105" s="50"/>
      <c r="W105" s="51"/>
      <c r="X105" s="50"/>
      <c r="Y105" s="51"/>
      <c r="Z105" s="66"/>
      <c r="AA105" s="50"/>
      <c r="AB105" s="51"/>
      <c r="AC105" s="50"/>
      <c r="AD105" s="50"/>
      <c r="AE105" s="51"/>
      <c r="AF105" s="50"/>
      <c r="AG105" s="51"/>
      <c r="AH105" s="50"/>
      <c r="AI105" s="40"/>
      <c r="AJ105" s="67"/>
    </row>
    <row r="106" spans="1:36" ht="18" customHeight="1">
      <c r="A106" s="97" t="s">
        <v>60</v>
      </c>
      <c r="B106" s="98"/>
      <c r="C106" s="99"/>
      <c r="D106" s="72">
        <f>D101+E101+AA21+AB21</f>
        <v>0</v>
      </c>
      <c r="E106" s="73"/>
      <c r="F106" s="72">
        <f>F101+G101+AA29+AB29</f>
        <v>0</v>
      </c>
      <c r="G106" s="73"/>
      <c r="H106" s="72">
        <f>H101+I101+AA37+AB37</f>
        <v>0</v>
      </c>
      <c r="I106" s="73"/>
      <c r="J106" s="72">
        <f>J101+K101+AA45+AB45</f>
        <v>0</v>
      </c>
      <c r="K106" s="73"/>
      <c r="L106" s="72">
        <f>L101+M101+AA53+AB53</f>
        <v>0</v>
      </c>
      <c r="M106" s="73"/>
      <c r="N106" s="72">
        <f>N101+O101+AA61+AB61</f>
        <v>0</v>
      </c>
      <c r="O106" s="73"/>
      <c r="P106" s="72">
        <f>P101+Q101+AA69+AB69</f>
        <v>0</v>
      </c>
      <c r="Q106" s="73"/>
      <c r="R106" s="72">
        <f>R101+S101+AA77+AB77</f>
        <v>0</v>
      </c>
      <c r="S106" s="73"/>
      <c r="T106" s="72">
        <f>T101+U101+AA85+AB85</f>
        <v>0</v>
      </c>
      <c r="U106" s="73"/>
      <c r="V106" s="72">
        <f>V101+W101+AA93+AB93</f>
        <v>0</v>
      </c>
      <c r="W106" s="73"/>
      <c r="X106" s="72">
        <f>X101+Y101+0</f>
        <v>0</v>
      </c>
      <c r="Y106" s="73"/>
      <c r="Z106" s="36"/>
      <c r="AA106" s="72"/>
      <c r="AB106" s="73"/>
      <c r="AC106" s="57"/>
      <c r="AD106" s="57"/>
      <c r="AE106" s="58"/>
      <c r="AF106" s="57"/>
      <c r="AG106" s="58"/>
      <c r="AH106" s="57"/>
      <c r="AI106" s="59"/>
      <c r="AJ106" s="60"/>
    </row>
    <row r="107" spans="1:36" ht="18" customHeight="1">
      <c r="A107" s="97" t="s">
        <v>61</v>
      </c>
      <c r="B107" s="98"/>
      <c r="C107" s="99"/>
      <c r="D107" s="72">
        <f>SUMIF(WB!$D$3:$Y$3,D3,WB!$D$106:$Y$106)+SUMIF(EB!$D$3:$AC$3,D3,EB!$D$58:$AC$58)</f>
        <v>0</v>
      </c>
      <c r="E107" s="73"/>
      <c r="F107" s="72">
        <f>SUMIF(WB!$D$3:$Y$3,F3,WB!$D$106:$Y$106)+SUMIF(EB!$D$3:$AC$3,F3,EB!$D$58:$AC$58)</f>
        <v>0</v>
      </c>
      <c r="G107" s="73"/>
      <c r="H107" s="72">
        <f>SUMIF(WB!$D$3:$Y$3,H3,WB!$D$106:$Y$106)+SUMIF(EB!$D$3:$AC$3,H3,EB!$D$58:$AC$58)</f>
        <v>0</v>
      </c>
      <c r="I107" s="73"/>
      <c r="J107" s="72">
        <f>SUMIF(WB!$D$3:$Y$3,J3,WB!$D$106:$Y$106)+SUMIF(EB!$D$3:$AC$3,J3,EB!$D$58:$AC$58)</f>
        <v>0</v>
      </c>
      <c r="K107" s="73"/>
      <c r="L107" s="72">
        <f>SUMIF(WB!$D$3:$Y$3,L3,WB!$D$106:$Y$106)+SUMIF(EB!$D$3:$AC$3,L3,EB!$D$58:$AC$58)</f>
        <v>0</v>
      </c>
      <c r="M107" s="73"/>
      <c r="N107" s="72">
        <f>SUMIF(WB!$D$3:$Y$3,N3,WB!$D$106:$Y$106)+SUMIF(EB!$D$3:$AC$3,N3,EB!$D$58:$AC$58)</f>
        <v>0</v>
      </c>
      <c r="O107" s="73"/>
      <c r="P107" s="72">
        <f>SUMIF(WB!$D$3:$Y$3,P3,WB!$D$106:$Y$106)+SUMIF(EB!$D$3:$AC$3,P3,EB!$D$58:$AC$58)</f>
        <v>0</v>
      </c>
      <c r="Q107" s="73"/>
      <c r="R107" s="72">
        <f>SUMIF(WB!$D$3:$Y$3,R3,WB!$D$106:$Y$106)+SUMIF(EB!$D$3:$AC$3,R3,EB!$D$58:$AC$58)</f>
        <v>0</v>
      </c>
      <c r="S107" s="73"/>
      <c r="T107" s="72">
        <f>SUMIF(WB!$D$3:$Y$3,T3,WB!$D$106:$Y$106)+SUMIF(EB!$D$3:$AC$3,T3,EB!$D$58:$AC$58)</f>
        <v>0</v>
      </c>
      <c r="U107" s="73"/>
      <c r="V107" s="72">
        <f>SUMIF(WB!$D$3:$Y$3,V3,WB!$D$106:$Y$106)+SUMIF(EB!$D$3:$AC$3,V3,EB!$D$58:$AC$58)</f>
        <v>0</v>
      </c>
      <c r="W107" s="73"/>
      <c r="X107" s="72">
        <f>SUMIF(WB!$D$3:$Y$3,X3,WB!$D$106:$Y$106)+SUMIF(EB!$D$3:$AC$3,X3,EB!$D$58:$AC$58)</f>
        <v>0</v>
      </c>
      <c r="Y107" s="73"/>
      <c r="Z107" s="36"/>
      <c r="AA107" s="72"/>
      <c r="AB107" s="73"/>
      <c r="AC107" s="57"/>
      <c r="AD107" s="57"/>
      <c r="AE107" s="58"/>
      <c r="AF107" s="57"/>
      <c r="AG107" s="58"/>
      <c r="AH107" s="57"/>
      <c r="AI107" s="59"/>
      <c r="AJ107" s="60"/>
    </row>
    <row r="108" spans="1:36" ht="18" customHeight="1">
      <c r="A108" s="97" t="s">
        <v>62</v>
      </c>
      <c r="B108" s="98"/>
      <c r="C108" s="99"/>
      <c r="D108" s="72"/>
      <c r="E108" s="73"/>
      <c r="F108" s="72"/>
      <c r="G108" s="73"/>
      <c r="H108" s="72"/>
      <c r="I108" s="73"/>
      <c r="J108" s="72"/>
      <c r="K108" s="73"/>
      <c r="L108" s="72"/>
      <c r="M108" s="73"/>
      <c r="N108" s="72"/>
      <c r="O108" s="73"/>
      <c r="P108" s="72"/>
      <c r="Q108" s="73"/>
      <c r="R108" s="72"/>
      <c r="S108" s="73"/>
      <c r="T108" s="72"/>
      <c r="U108" s="73"/>
      <c r="V108" s="72"/>
      <c r="W108" s="73"/>
      <c r="X108" s="72"/>
      <c r="Y108" s="73"/>
      <c r="Z108" s="36"/>
      <c r="AA108" s="72"/>
      <c r="AB108" s="73"/>
      <c r="AC108" s="57"/>
      <c r="AD108" s="57"/>
      <c r="AE108" s="58"/>
      <c r="AF108" s="57"/>
      <c r="AG108" s="58"/>
      <c r="AH108" s="57"/>
      <c r="AI108" s="59"/>
      <c r="AJ108" s="60"/>
    </row>
    <row r="109" spans="1:36" ht="18" customHeight="1">
      <c r="A109" s="87" t="s">
        <v>63</v>
      </c>
      <c r="B109" s="88"/>
      <c r="C109" s="102"/>
      <c r="D109" s="85">
        <f>D108-D107</f>
        <v>0</v>
      </c>
      <c r="E109" s="86"/>
      <c r="F109" s="85">
        <f>F108-F107</f>
        <v>0</v>
      </c>
      <c r="G109" s="86"/>
      <c r="H109" s="85">
        <f>H108-H107</f>
        <v>0</v>
      </c>
      <c r="I109" s="86"/>
      <c r="J109" s="85">
        <f>J108-J107</f>
        <v>0</v>
      </c>
      <c r="K109" s="86"/>
      <c r="L109" s="85">
        <f>L108-L107</f>
        <v>0</v>
      </c>
      <c r="M109" s="86"/>
      <c r="N109" s="85">
        <f>N108-N107</f>
        <v>0</v>
      </c>
      <c r="O109" s="86"/>
      <c r="P109" s="85">
        <f>P108-P107</f>
        <v>0</v>
      </c>
      <c r="Q109" s="86"/>
      <c r="R109" s="85">
        <f>R108-R107</f>
        <v>0</v>
      </c>
      <c r="S109" s="86"/>
      <c r="T109" s="85">
        <f>T108-T107</f>
        <v>0</v>
      </c>
      <c r="U109" s="86"/>
      <c r="V109" s="85">
        <f>V108-V107</f>
        <v>0</v>
      </c>
      <c r="W109" s="86"/>
      <c r="X109" s="85">
        <f>X108-X107</f>
        <v>0</v>
      </c>
      <c r="Y109" s="86"/>
      <c r="Z109" s="68"/>
      <c r="AA109" s="85"/>
      <c r="AB109" s="86"/>
      <c r="AC109" s="52"/>
      <c r="AD109" s="52"/>
      <c r="AE109" s="53"/>
      <c r="AF109" s="52"/>
      <c r="AG109" s="53"/>
      <c r="AH109" s="52"/>
      <c r="AI109" s="55"/>
      <c r="AJ109" s="56"/>
    </row>
  </sheetData>
  <mergeCells count="284">
    <mergeCell ref="A109:C109"/>
    <mergeCell ref="F106:G106"/>
    <mergeCell ref="A102:C102"/>
    <mergeCell ref="R3:S3"/>
    <mergeCell ref="J109:K109"/>
    <mergeCell ref="AA3:AB3"/>
    <mergeCell ref="D68:E68"/>
    <mergeCell ref="AA12:AB12"/>
    <mergeCell ref="A103:C103"/>
    <mergeCell ref="A29:B29"/>
    <mergeCell ref="T52:U52"/>
    <mergeCell ref="H76:I76"/>
    <mergeCell ref="J76:K76"/>
    <mergeCell ref="A13:B13"/>
    <mergeCell ref="T36:U36"/>
    <mergeCell ref="L36:M36"/>
    <mergeCell ref="D44:E44"/>
    <mergeCell ref="A62:B66"/>
    <mergeCell ref="F44:G44"/>
    <mergeCell ref="P92:Q92"/>
    <mergeCell ref="A2:C2"/>
    <mergeCell ref="D52:E52"/>
    <mergeCell ref="T106:U106"/>
    <mergeCell ref="H60:I60"/>
    <mergeCell ref="D107:E107"/>
    <mergeCell ref="F36:G36"/>
    <mergeCell ref="A21:B21"/>
    <mergeCell ref="F100:G100"/>
    <mergeCell ref="H100:I100"/>
    <mergeCell ref="D106:E106"/>
    <mergeCell ref="H84:I84"/>
    <mergeCell ref="D102:E102"/>
    <mergeCell ref="F102:G102"/>
    <mergeCell ref="L100:M100"/>
    <mergeCell ref="P3:Q3"/>
    <mergeCell ref="A107:C107"/>
    <mergeCell ref="P12:Q12"/>
    <mergeCell ref="P68:Q68"/>
    <mergeCell ref="J106:K106"/>
    <mergeCell ref="R68:S68"/>
    <mergeCell ref="T28:U28"/>
    <mergeCell ref="R52:S52"/>
    <mergeCell ref="J52:K52"/>
    <mergeCell ref="T3:U3"/>
    <mergeCell ref="A14:B18"/>
    <mergeCell ref="AA76:AB76"/>
    <mergeCell ref="A93:B93"/>
    <mergeCell ref="AD4:AE4"/>
    <mergeCell ref="A77:B77"/>
    <mergeCell ref="N4:O4"/>
    <mergeCell ref="P4:Q4"/>
    <mergeCell ref="F4:G4"/>
    <mergeCell ref="A108:C108"/>
    <mergeCell ref="X36:Y36"/>
    <mergeCell ref="L108:M108"/>
    <mergeCell ref="V12:W12"/>
    <mergeCell ref="V68:W68"/>
    <mergeCell ref="J44:K44"/>
    <mergeCell ref="X12:Y12"/>
    <mergeCell ref="N108:O108"/>
    <mergeCell ref="V92:W92"/>
    <mergeCell ref="T20:U20"/>
    <mergeCell ref="R103:S103"/>
    <mergeCell ref="T103:U103"/>
    <mergeCell ref="H4:I4"/>
    <mergeCell ref="V106:W106"/>
    <mergeCell ref="F12:G12"/>
    <mergeCell ref="X103:Y103"/>
    <mergeCell ref="R109:S109"/>
    <mergeCell ref="D103:E103"/>
    <mergeCell ref="T109:U109"/>
    <mergeCell ref="P102:Q102"/>
    <mergeCell ref="L84:M84"/>
    <mergeCell ref="L44:M44"/>
    <mergeCell ref="N84:O84"/>
    <mergeCell ref="X4:Y4"/>
    <mergeCell ref="X109:Y109"/>
    <mergeCell ref="X44:Y44"/>
    <mergeCell ref="D109:E109"/>
    <mergeCell ref="V109:W109"/>
    <mergeCell ref="R107:S107"/>
    <mergeCell ref="T107:U107"/>
    <mergeCell ref="V76:W76"/>
    <mergeCell ref="AA28:AB28"/>
    <mergeCell ref="A45:B45"/>
    <mergeCell ref="A3:C3"/>
    <mergeCell ref="X107:Y107"/>
    <mergeCell ref="P60:Q60"/>
    <mergeCell ref="H68:I68"/>
    <mergeCell ref="P52:Q52"/>
    <mergeCell ref="A5:C5"/>
    <mergeCell ref="R108:S108"/>
    <mergeCell ref="D76:E76"/>
    <mergeCell ref="F20:G20"/>
    <mergeCell ref="F76:G76"/>
    <mergeCell ref="T108:U108"/>
    <mergeCell ref="P36:Q36"/>
    <mergeCell ref="A106:C106"/>
    <mergeCell ref="R36:S36"/>
    <mergeCell ref="H36:I36"/>
    <mergeCell ref="J36:K36"/>
    <mergeCell ref="T92:U92"/>
    <mergeCell ref="L92:M92"/>
    <mergeCell ref="X28:Y28"/>
    <mergeCell ref="A54:B58"/>
    <mergeCell ref="AA60:AB60"/>
    <mergeCell ref="H52:I52"/>
    <mergeCell ref="H108:I108"/>
    <mergeCell ref="X92:Y92"/>
    <mergeCell ref="R12:S12"/>
    <mergeCell ref="J108:K108"/>
    <mergeCell ref="T12:U12"/>
    <mergeCell ref="A101:B101"/>
    <mergeCell ref="X20:Y20"/>
    <mergeCell ref="A46:B50"/>
    <mergeCell ref="N103:O103"/>
    <mergeCell ref="AA68:AB68"/>
    <mergeCell ref="A85:B85"/>
    <mergeCell ref="P103:Q103"/>
    <mergeCell ref="AA84:AB84"/>
    <mergeCell ref="R106:S106"/>
    <mergeCell ref="N92:O92"/>
    <mergeCell ref="J20:K20"/>
    <mergeCell ref="L20:M20"/>
    <mergeCell ref="R100:S100"/>
    <mergeCell ref="J103:K103"/>
    <mergeCell ref="T100:U100"/>
    <mergeCell ref="L3:M3"/>
    <mergeCell ref="J68:K68"/>
    <mergeCell ref="N3:O3"/>
    <mergeCell ref="L12:M12"/>
    <mergeCell ref="L68:M68"/>
    <mergeCell ref="D108:E108"/>
    <mergeCell ref="N12:O12"/>
    <mergeCell ref="N68:O68"/>
    <mergeCell ref="V28:W28"/>
    <mergeCell ref="D4:E4"/>
    <mergeCell ref="J100:K100"/>
    <mergeCell ref="V3:W3"/>
    <mergeCell ref="F3:G3"/>
    <mergeCell ref="AF3:AG3"/>
    <mergeCell ref="H20:I20"/>
    <mergeCell ref="AH3:AI3"/>
    <mergeCell ref="P100:Q100"/>
    <mergeCell ref="H103:I103"/>
    <mergeCell ref="N109:O109"/>
    <mergeCell ref="AA52:AB52"/>
    <mergeCell ref="P109:Q109"/>
    <mergeCell ref="P44:Q44"/>
    <mergeCell ref="H44:I44"/>
    <mergeCell ref="J84:K84"/>
    <mergeCell ref="R4:S4"/>
    <mergeCell ref="T4:U4"/>
    <mergeCell ref="V4:W4"/>
    <mergeCell ref="J107:K107"/>
    <mergeCell ref="AA36:AB36"/>
    <mergeCell ref="AA20:AB20"/>
    <mergeCell ref="V60:W60"/>
    <mergeCell ref="X106:Y106"/>
    <mergeCell ref="P106:Q106"/>
    <mergeCell ref="R102:S102"/>
    <mergeCell ref="T102:U102"/>
    <mergeCell ref="AD3:AE3"/>
    <mergeCell ref="R44:S44"/>
    <mergeCell ref="AF4:AG4"/>
    <mergeCell ref="AH4:AI4"/>
    <mergeCell ref="AA103:AB103"/>
    <mergeCell ref="V107:W107"/>
    <mergeCell ref="A6:B10"/>
    <mergeCell ref="N107:O107"/>
    <mergeCell ref="P107:Q107"/>
    <mergeCell ref="R20:S20"/>
    <mergeCell ref="R76:S76"/>
    <mergeCell ref="T76:U76"/>
    <mergeCell ref="L76:M76"/>
    <mergeCell ref="D28:E28"/>
    <mergeCell ref="V36:W36"/>
    <mergeCell ref="T60:U60"/>
    <mergeCell ref="L60:M60"/>
    <mergeCell ref="T84:U84"/>
    <mergeCell ref="N60:O60"/>
    <mergeCell ref="D12:E12"/>
    <mergeCell ref="D92:E92"/>
    <mergeCell ref="L52:M52"/>
    <mergeCell ref="F92:G92"/>
    <mergeCell ref="X100:Y100"/>
    <mergeCell ref="X84:Y84"/>
    <mergeCell ref="H92:I92"/>
    <mergeCell ref="AA107:AB107"/>
    <mergeCell ref="A4:C4"/>
    <mergeCell ref="N52:O52"/>
    <mergeCell ref="AA4:AB4"/>
    <mergeCell ref="A78:B82"/>
    <mergeCell ref="X3:Y3"/>
    <mergeCell ref="X68:Y68"/>
    <mergeCell ref="F109:G109"/>
    <mergeCell ref="A1:G1"/>
    <mergeCell ref="N44:O44"/>
    <mergeCell ref="H109:I109"/>
    <mergeCell ref="N28:O28"/>
    <mergeCell ref="X76:Y76"/>
    <mergeCell ref="V103:W103"/>
    <mergeCell ref="F28:G28"/>
    <mergeCell ref="P28:Q28"/>
    <mergeCell ref="H28:I28"/>
    <mergeCell ref="X60:Y60"/>
    <mergeCell ref="H3:I3"/>
    <mergeCell ref="J3:K3"/>
    <mergeCell ref="H12:I12"/>
    <mergeCell ref="J12:K12"/>
    <mergeCell ref="H106:I106"/>
    <mergeCell ref="A38:B42"/>
    <mergeCell ref="AA1:AJ1"/>
    <mergeCell ref="L102:M102"/>
    <mergeCell ref="J4:K4"/>
    <mergeCell ref="L4:M4"/>
    <mergeCell ref="V108:W108"/>
    <mergeCell ref="X108:Y108"/>
    <mergeCell ref="L109:M109"/>
    <mergeCell ref="AA108:AB108"/>
    <mergeCell ref="A53:B53"/>
    <mergeCell ref="AA2:AB2"/>
    <mergeCell ref="H1:Y1"/>
    <mergeCell ref="F107:G107"/>
    <mergeCell ref="AA109:AB109"/>
    <mergeCell ref="H107:I107"/>
    <mergeCell ref="AA92:AB92"/>
    <mergeCell ref="R60:S60"/>
    <mergeCell ref="L107:M107"/>
    <mergeCell ref="H102:I102"/>
    <mergeCell ref="A61:B61"/>
    <mergeCell ref="J102:K102"/>
    <mergeCell ref="L106:M106"/>
    <mergeCell ref="N36:O36"/>
    <mergeCell ref="T68:U68"/>
    <mergeCell ref="A37:B37"/>
    <mergeCell ref="F108:G108"/>
    <mergeCell ref="D36:E36"/>
    <mergeCell ref="P84:Q84"/>
    <mergeCell ref="J60:K60"/>
    <mergeCell ref="V102:W102"/>
    <mergeCell ref="A30:B34"/>
    <mergeCell ref="R84:S84"/>
    <mergeCell ref="V20:W20"/>
    <mergeCell ref="D2:H2"/>
    <mergeCell ref="T44:U44"/>
    <mergeCell ref="V84:W84"/>
    <mergeCell ref="V44:W44"/>
    <mergeCell ref="N102:O102"/>
    <mergeCell ref="L103:M103"/>
    <mergeCell ref="N106:O106"/>
    <mergeCell ref="A69:B69"/>
    <mergeCell ref="D3:E3"/>
    <mergeCell ref="P108:Q108"/>
    <mergeCell ref="J92:K92"/>
    <mergeCell ref="A70:B74"/>
    <mergeCell ref="A86:B90"/>
    <mergeCell ref="F52:G52"/>
    <mergeCell ref="F60:G60"/>
    <mergeCell ref="A22:B26"/>
    <mergeCell ref="AA106:AB106"/>
    <mergeCell ref="R92:S92"/>
    <mergeCell ref="D60:E60"/>
    <mergeCell ref="N20:O20"/>
    <mergeCell ref="N76:O76"/>
    <mergeCell ref="P20:Q20"/>
    <mergeCell ref="P76:Q76"/>
    <mergeCell ref="V100:W100"/>
    <mergeCell ref="N100:O100"/>
    <mergeCell ref="F103:G103"/>
    <mergeCell ref="AA100:AB100"/>
    <mergeCell ref="AA102:AB102"/>
    <mergeCell ref="X102:Y102"/>
    <mergeCell ref="D20:E20"/>
    <mergeCell ref="D100:E100"/>
    <mergeCell ref="F68:G68"/>
    <mergeCell ref="D84:E84"/>
    <mergeCell ref="AA44:AB44"/>
    <mergeCell ref="V52:W52"/>
    <mergeCell ref="R28:S28"/>
    <mergeCell ref="F84:G84"/>
    <mergeCell ref="X52:Y52"/>
    <mergeCell ref="L28:M28"/>
    <mergeCell ref="J28:K28"/>
  </mergeCells>
  <phoneticPr fontId="2" type="noConversion"/>
  <conditionalFormatting sqref="AF6:AG101">
    <cfRule type="cellIs" dxfId="5" priority="3" operator="equal">
      <formula>1</formula>
    </cfRule>
    <cfRule type="cellIs" dxfId="4" priority="4" operator="greaterThan">
      <formula>1</formula>
    </cfRule>
  </conditionalFormatting>
  <conditionalFormatting sqref="AH6:AI101">
    <cfRule type="cellIs" dxfId="3" priority="7" operator="lessThan">
      <formula>0</formula>
    </cfRule>
  </conditionalFormatting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61"/>
  <sheetViews>
    <sheetView showGridLines="0"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8"/>
  <cols>
    <col min="1" max="1" width="8" customWidth="1"/>
    <col min="2" max="2" width="9" customWidth="1"/>
    <col min="3" max="3" width="11" customWidth="1"/>
    <col min="4" max="29" width="7.5" customWidth="1"/>
    <col min="30" max="30" width="2" customWidth="1"/>
    <col min="31" max="40" width="9.5" customWidth="1"/>
  </cols>
  <sheetData>
    <row r="1" spans="1:40" ht="19.95" customHeight="1">
      <c r="A1" s="93" t="s">
        <v>0</v>
      </c>
      <c r="B1" s="81"/>
      <c r="C1" s="81"/>
      <c r="D1" s="81"/>
      <c r="E1" s="81"/>
      <c r="F1" s="81"/>
      <c r="G1" s="81"/>
      <c r="H1" s="89" t="s">
        <v>1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69"/>
      <c r="AE1" s="105"/>
      <c r="AF1" s="81"/>
      <c r="AG1" s="81"/>
      <c r="AH1" s="81"/>
      <c r="AI1" s="81"/>
      <c r="AJ1" s="81"/>
      <c r="AK1" s="81"/>
      <c r="AL1" s="81"/>
      <c r="AM1" s="81"/>
      <c r="AN1" s="82"/>
    </row>
    <row r="2" spans="1:40" ht="19.95" customHeight="1">
      <c r="A2" s="101" t="str">
        <f>WB!A2</f>
        <v>Service Lane : CGX/0005</v>
      </c>
      <c r="B2" s="80"/>
      <c r="C2" s="80"/>
      <c r="D2" s="79" t="str">
        <f>WB!D2</f>
        <v>EXPRESS BERLIN / XPBL2625WE</v>
      </c>
      <c r="E2" s="80"/>
      <c r="F2" s="80"/>
      <c r="G2" s="80"/>
      <c r="H2" s="8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79" t="s">
        <v>64</v>
      </c>
      <c r="AF2" s="80"/>
      <c r="AG2" s="5">
        <f>WB!AC2</f>
        <v>0</v>
      </c>
      <c r="AH2" s="3" t="s">
        <v>5</v>
      </c>
      <c r="AI2" s="4"/>
      <c r="AJ2" s="6">
        <f>WB!AF2</f>
        <v>0</v>
      </c>
      <c r="AK2" s="3" t="s">
        <v>6</v>
      </c>
      <c r="AL2" s="5">
        <f>WB!AH2</f>
        <v>0</v>
      </c>
      <c r="AM2" s="3" t="s">
        <v>7</v>
      </c>
      <c r="AN2" s="7"/>
    </row>
    <row r="3" spans="1:40" ht="19.95" customHeight="1">
      <c r="A3" s="93" t="s">
        <v>8</v>
      </c>
      <c r="B3" s="81"/>
      <c r="C3" s="82"/>
      <c r="D3" s="92" t="s">
        <v>16</v>
      </c>
      <c r="E3" s="81"/>
      <c r="F3" s="92" t="s">
        <v>17</v>
      </c>
      <c r="G3" s="81"/>
      <c r="H3" s="92" t="s">
        <v>18</v>
      </c>
      <c r="I3" s="81"/>
      <c r="J3" s="92" t="s">
        <v>9</v>
      </c>
      <c r="K3" s="81"/>
      <c r="L3" s="92" t="s">
        <v>10</v>
      </c>
      <c r="M3" s="81"/>
      <c r="N3" s="92" t="s">
        <v>11</v>
      </c>
      <c r="O3" s="81"/>
      <c r="P3" s="92" t="s">
        <v>12</v>
      </c>
      <c r="Q3" s="81"/>
      <c r="R3" s="92" t="s">
        <v>13</v>
      </c>
      <c r="S3" s="81"/>
      <c r="T3" s="92" t="s">
        <v>14</v>
      </c>
      <c r="U3" s="81"/>
      <c r="V3" s="92" t="s">
        <v>15</v>
      </c>
      <c r="W3" s="81"/>
      <c r="X3" s="92" t="s">
        <v>16</v>
      </c>
      <c r="Y3" s="81"/>
      <c r="Z3" s="92" t="s">
        <v>17</v>
      </c>
      <c r="AA3" s="81"/>
      <c r="AB3" s="92" t="s">
        <v>18</v>
      </c>
      <c r="AC3" s="81"/>
      <c r="AD3" s="69"/>
      <c r="AE3" s="92" t="s">
        <v>19</v>
      </c>
      <c r="AF3" s="81"/>
      <c r="AG3" s="8" t="s">
        <v>20</v>
      </c>
      <c r="AH3" s="92" t="s">
        <v>21</v>
      </c>
      <c r="AI3" s="81"/>
      <c r="AJ3" s="92" t="s">
        <v>22</v>
      </c>
      <c r="AK3" s="81"/>
      <c r="AL3" s="92" t="s">
        <v>23</v>
      </c>
      <c r="AM3" s="82"/>
      <c r="AN3" s="10" t="s">
        <v>24</v>
      </c>
    </row>
    <row r="4" spans="1:40" ht="19.95" customHeight="1">
      <c r="A4" s="90" t="s">
        <v>25</v>
      </c>
      <c r="B4" s="84"/>
      <c r="C4" s="91"/>
      <c r="D4" s="83" t="s">
        <v>33</v>
      </c>
      <c r="E4" s="84"/>
      <c r="F4" s="83" t="s">
        <v>34</v>
      </c>
      <c r="G4" s="84"/>
      <c r="H4" s="83" t="s">
        <v>35</v>
      </c>
      <c r="I4" s="84"/>
      <c r="J4" s="83" t="s">
        <v>36</v>
      </c>
      <c r="K4" s="84"/>
      <c r="L4" s="83" t="s">
        <v>65</v>
      </c>
      <c r="M4" s="84"/>
      <c r="N4" s="83" t="s">
        <v>66</v>
      </c>
      <c r="O4" s="84"/>
      <c r="P4" s="83" t="s">
        <v>67</v>
      </c>
      <c r="Q4" s="84"/>
      <c r="R4" s="83" t="s">
        <v>68</v>
      </c>
      <c r="S4" s="84"/>
      <c r="T4" s="83" t="s">
        <v>69</v>
      </c>
      <c r="U4" s="84"/>
      <c r="V4" s="100" t="s">
        <v>32</v>
      </c>
      <c r="W4" s="84"/>
      <c r="X4" s="83" t="s">
        <v>70</v>
      </c>
      <c r="Y4" s="84"/>
      <c r="Z4" s="83" t="s">
        <v>71</v>
      </c>
      <c r="AA4" s="84"/>
      <c r="AB4" s="83" t="s">
        <v>72</v>
      </c>
      <c r="AC4" s="84"/>
      <c r="AD4" s="70"/>
      <c r="AE4" s="90"/>
      <c r="AF4" s="84"/>
      <c r="AG4" s="11"/>
      <c r="AH4" s="90"/>
      <c r="AI4" s="84"/>
      <c r="AJ4" s="90"/>
      <c r="AK4" s="84"/>
      <c r="AL4" s="90"/>
      <c r="AM4" s="91"/>
      <c r="AN4" s="14"/>
    </row>
    <row r="5" spans="1:40" ht="19.95" customHeight="1">
      <c r="A5" s="94" t="s">
        <v>37</v>
      </c>
      <c r="B5" s="95"/>
      <c r="C5" s="96"/>
      <c r="D5" s="15" t="s">
        <v>38</v>
      </c>
      <c r="E5" s="16" t="s">
        <v>39</v>
      </c>
      <c r="F5" s="15" t="s">
        <v>38</v>
      </c>
      <c r="G5" s="16" t="s">
        <v>39</v>
      </c>
      <c r="H5" s="15" t="s">
        <v>38</v>
      </c>
      <c r="I5" s="16" t="s">
        <v>39</v>
      </c>
      <c r="J5" s="15" t="s">
        <v>38</v>
      </c>
      <c r="K5" s="16" t="s">
        <v>39</v>
      </c>
      <c r="L5" s="15" t="s">
        <v>38</v>
      </c>
      <c r="M5" s="16" t="s">
        <v>39</v>
      </c>
      <c r="N5" s="15" t="s">
        <v>38</v>
      </c>
      <c r="O5" s="16" t="s">
        <v>39</v>
      </c>
      <c r="P5" s="15" t="s">
        <v>38</v>
      </c>
      <c r="Q5" s="16" t="s">
        <v>39</v>
      </c>
      <c r="R5" s="15" t="s">
        <v>38</v>
      </c>
      <c r="S5" s="16" t="s">
        <v>39</v>
      </c>
      <c r="T5" s="15" t="s">
        <v>38</v>
      </c>
      <c r="U5" s="16" t="s">
        <v>39</v>
      </c>
      <c r="V5" s="15" t="s">
        <v>38</v>
      </c>
      <c r="W5" s="16" t="s">
        <v>39</v>
      </c>
      <c r="X5" s="15" t="s">
        <v>38</v>
      </c>
      <c r="Y5" s="16" t="s">
        <v>39</v>
      </c>
      <c r="Z5" s="15" t="s">
        <v>38</v>
      </c>
      <c r="AA5" s="16" t="s">
        <v>39</v>
      </c>
      <c r="AB5" s="15" t="s">
        <v>38</v>
      </c>
      <c r="AC5" s="16" t="s">
        <v>39</v>
      </c>
      <c r="AD5" s="17"/>
      <c r="AE5" s="15" t="s">
        <v>38</v>
      </c>
      <c r="AF5" s="16" t="s">
        <v>39</v>
      </c>
      <c r="AG5" s="15" t="s">
        <v>40</v>
      </c>
      <c r="AH5" s="15" t="s">
        <v>41</v>
      </c>
      <c r="AI5" s="16" t="s">
        <v>42</v>
      </c>
      <c r="AJ5" s="15" t="s">
        <v>41</v>
      </c>
      <c r="AK5" s="16" t="s">
        <v>42</v>
      </c>
      <c r="AL5" s="15" t="s">
        <v>43</v>
      </c>
      <c r="AM5" s="18" t="s">
        <v>44</v>
      </c>
      <c r="AN5" s="19"/>
    </row>
    <row r="6" spans="1:40" ht="18" customHeight="1">
      <c r="A6" s="76" t="s">
        <v>45</v>
      </c>
      <c r="B6" s="77"/>
      <c r="C6" s="22" t="s">
        <v>46</v>
      </c>
      <c r="D6" s="23"/>
      <c r="E6" s="24"/>
      <c r="F6" s="23"/>
      <c r="G6" s="24"/>
      <c r="H6" s="23"/>
      <c r="I6" s="24"/>
      <c r="J6" s="23"/>
      <c r="K6" s="24"/>
      <c r="L6" s="23"/>
      <c r="M6" s="24"/>
      <c r="N6" s="23"/>
      <c r="O6" s="24"/>
      <c r="P6" s="23"/>
      <c r="Q6" s="24"/>
      <c r="R6" s="23"/>
      <c r="S6" s="24"/>
      <c r="T6" s="23"/>
      <c r="U6" s="24"/>
      <c r="V6" s="23"/>
      <c r="W6" s="24"/>
      <c r="X6" s="23"/>
      <c r="Y6" s="24"/>
      <c r="Z6" s="23"/>
      <c r="AA6" s="24"/>
      <c r="AB6" s="23"/>
      <c r="AC6" s="24"/>
      <c r="AD6" s="25"/>
      <c r="AE6" s="23">
        <f t="shared" ref="AE6:AF11" si="0">D6+F6+H6+J6+L6+N6+P6+R6+T6+V6+X6+Z6+AB6</f>
        <v>0</v>
      </c>
      <c r="AF6" s="24">
        <f t="shared" si="0"/>
        <v>0</v>
      </c>
      <c r="AG6" s="23">
        <f t="shared" ref="AG6:AG11" si="1">AE6+AF6*2</f>
        <v>0</v>
      </c>
      <c r="AH6" s="23">
        <f>0+AG6+AG7+AG8+AG9+AG10+AG11-(0)</f>
        <v>0</v>
      </c>
      <c r="AI6" s="24">
        <f>0+AG6+AG7+AG8+AG9+AG10-((0)-(0))</f>
        <v>0</v>
      </c>
      <c r="AJ6" s="26">
        <f>IF($AG$2&gt;0,AH6/$AG$2,0)</f>
        <v>0</v>
      </c>
      <c r="AK6" s="27">
        <f>IF($AG$2&gt;0,AI6/$AG$2,0)</f>
        <v>0</v>
      </c>
      <c r="AL6" s="23"/>
      <c r="AM6" s="28"/>
      <c r="AN6" s="29"/>
    </row>
    <row r="7" spans="1:40" ht="18" customHeight="1">
      <c r="A7" s="78"/>
      <c r="B7" s="77"/>
      <c r="C7" s="22" t="s">
        <v>47</v>
      </c>
      <c r="D7" s="23"/>
      <c r="E7" s="24"/>
      <c r="F7" s="23"/>
      <c r="G7" s="24"/>
      <c r="H7" s="23"/>
      <c r="I7" s="24"/>
      <c r="J7" s="23"/>
      <c r="K7" s="24"/>
      <c r="L7" s="23"/>
      <c r="M7" s="24"/>
      <c r="N7" s="23"/>
      <c r="O7" s="24"/>
      <c r="P7" s="23"/>
      <c r="Q7" s="24"/>
      <c r="R7" s="23"/>
      <c r="S7" s="24"/>
      <c r="T7" s="23"/>
      <c r="U7" s="24"/>
      <c r="V7" s="23"/>
      <c r="W7" s="24"/>
      <c r="X7" s="23"/>
      <c r="Y7" s="24"/>
      <c r="Z7" s="23"/>
      <c r="AA7" s="24"/>
      <c r="AB7" s="23"/>
      <c r="AC7" s="24"/>
      <c r="AD7" s="25"/>
      <c r="AE7" s="23">
        <f t="shared" si="0"/>
        <v>0</v>
      </c>
      <c r="AF7" s="24">
        <f t="shared" si="0"/>
        <v>0</v>
      </c>
      <c r="AG7" s="23">
        <f t="shared" si="1"/>
        <v>0</v>
      </c>
      <c r="AH7" s="23"/>
      <c r="AI7" s="24"/>
      <c r="AJ7" s="23"/>
      <c r="AK7" s="24"/>
      <c r="AL7" s="23"/>
      <c r="AM7" s="28"/>
      <c r="AN7" s="29"/>
    </row>
    <row r="8" spans="1:40" ht="18" customHeight="1">
      <c r="A8" s="78"/>
      <c r="B8" s="77"/>
      <c r="C8" s="22" t="s">
        <v>48</v>
      </c>
      <c r="D8" s="23"/>
      <c r="E8" s="24"/>
      <c r="F8" s="23"/>
      <c r="G8" s="24"/>
      <c r="H8" s="23"/>
      <c r="I8" s="24"/>
      <c r="J8" s="23"/>
      <c r="K8" s="24"/>
      <c r="L8" s="23"/>
      <c r="M8" s="24"/>
      <c r="N8" s="23"/>
      <c r="O8" s="24"/>
      <c r="P8" s="23"/>
      <c r="Q8" s="24"/>
      <c r="R8" s="23"/>
      <c r="S8" s="24"/>
      <c r="T8" s="23"/>
      <c r="U8" s="24"/>
      <c r="V8" s="23"/>
      <c r="W8" s="24"/>
      <c r="X8" s="23"/>
      <c r="Y8" s="24"/>
      <c r="Z8" s="23"/>
      <c r="AA8" s="24"/>
      <c r="AB8" s="23"/>
      <c r="AC8" s="24"/>
      <c r="AD8" s="25"/>
      <c r="AE8" s="23">
        <f t="shared" si="0"/>
        <v>0</v>
      </c>
      <c r="AF8" s="24">
        <f t="shared" si="0"/>
        <v>0</v>
      </c>
      <c r="AG8" s="23">
        <f t="shared" si="1"/>
        <v>0</v>
      </c>
      <c r="AH8" s="23"/>
      <c r="AI8" s="24"/>
      <c r="AJ8" s="23"/>
      <c r="AK8" s="24"/>
      <c r="AL8" s="23"/>
      <c r="AM8" s="28"/>
      <c r="AN8" s="29"/>
    </row>
    <row r="9" spans="1:40" ht="18" customHeight="1">
      <c r="A9" s="78"/>
      <c r="B9" s="77"/>
      <c r="C9" s="22" t="s">
        <v>49</v>
      </c>
      <c r="D9" s="23"/>
      <c r="E9" s="24"/>
      <c r="F9" s="23"/>
      <c r="G9" s="24"/>
      <c r="H9" s="23"/>
      <c r="I9" s="24"/>
      <c r="J9" s="23"/>
      <c r="K9" s="24"/>
      <c r="L9" s="23"/>
      <c r="M9" s="24"/>
      <c r="N9" s="23"/>
      <c r="O9" s="24"/>
      <c r="P9" s="23"/>
      <c r="Q9" s="24"/>
      <c r="R9" s="23"/>
      <c r="S9" s="24"/>
      <c r="T9" s="23"/>
      <c r="U9" s="24"/>
      <c r="V9" s="23"/>
      <c r="W9" s="24"/>
      <c r="X9" s="23"/>
      <c r="Y9" s="24"/>
      <c r="Z9" s="23"/>
      <c r="AA9" s="24"/>
      <c r="AB9" s="23"/>
      <c r="AC9" s="24"/>
      <c r="AD9" s="25"/>
      <c r="AE9" s="23">
        <f t="shared" si="0"/>
        <v>0</v>
      </c>
      <c r="AF9" s="24">
        <f t="shared" si="0"/>
        <v>0</v>
      </c>
      <c r="AG9" s="23">
        <f t="shared" si="1"/>
        <v>0</v>
      </c>
      <c r="AH9" s="23"/>
      <c r="AI9" s="24"/>
      <c r="AJ9" s="23"/>
      <c r="AK9" s="24"/>
      <c r="AL9" s="23"/>
      <c r="AM9" s="28"/>
      <c r="AN9" s="29"/>
    </row>
    <row r="10" spans="1:40" ht="18" customHeight="1">
      <c r="A10" s="78"/>
      <c r="B10" s="77"/>
      <c r="C10" s="22" t="s">
        <v>50</v>
      </c>
      <c r="D10" s="23"/>
      <c r="E10" s="24"/>
      <c r="F10" s="23"/>
      <c r="G10" s="24"/>
      <c r="H10" s="23"/>
      <c r="I10" s="24"/>
      <c r="J10" s="23"/>
      <c r="K10" s="24"/>
      <c r="L10" s="23"/>
      <c r="M10" s="24"/>
      <c r="N10" s="23"/>
      <c r="O10" s="24"/>
      <c r="P10" s="23"/>
      <c r="Q10" s="24"/>
      <c r="R10" s="23"/>
      <c r="S10" s="24"/>
      <c r="T10" s="23"/>
      <c r="U10" s="24"/>
      <c r="V10" s="23"/>
      <c r="W10" s="24"/>
      <c r="X10" s="23"/>
      <c r="Y10" s="24"/>
      <c r="Z10" s="23"/>
      <c r="AA10" s="24"/>
      <c r="AB10" s="23"/>
      <c r="AC10" s="24"/>
      <c r="AD10" s="25"/>
      <c r="AE10" s="23">
        <f t="shared" si="0"/>
        <v>0</v>
      </c>
      <c r="AF10" s="24">
        <f t="shared" si="0"/>
        <v>0</v>
      </c>
      <c r="AG10" s="23">
        <f t="shared" si="1"/>
        <v>0</v>
      </c>
      <c r="AH10" s="23"/>
      <c r="AI10" s="24"/>
      <c r="AJ10" s="23"/>
      <c r="AK10" s="24"/>
      <c r="AL10" s="23"/>
      <c r="AM10" s="28"/>
      <c r="AN10" s="29">
        <f>$AL$2-(AE10+AF10)</f>
        <v>0</v>
      </c>
    </row>
    <row r="11" spans="1:40" ht="18" customHeight="1">
      <c r="A11" s="20"/>
      <c r="B11" s="31"/>
      <c r="C11" s="22" t="s">
        <v>51</v>
      </c>
      <c r="D11" s="23"/>
      <c r="E11" s="24"/>
      <c r="F11" s="23"/>
      <c r="G11" s="24"/>
      <c r="H11" s="23"/>
      <c r="I11" s="24"/>
      <c r="J11" s="23"/>
      <c r="K11" s="24"/>
      <c r="L11" s="23"/>
      <c r="M11" s="24"/>
      <c r="N11" s="23"/>
      <c r="O11" s="24"/>
      <c r="P11" s="23"/>
      <c r="Q11" s="24"/>
      <c r="R11" s="23"/>
      <c r="S11" s="24"/>
      <c r="T11" s="23"/>
      <c r="U11" s="24"/>
      <c r="V11" s="23"/>
      <c r="W11" s="24"/>
      <c r="X11" s="23"/>
      <c r="Y11" s="24"/>
      <c r="Z11" s="23"/>
      <c r="AA11" s="24"/>
      <c r="AB11" s="23"/>
      <c r="AC11" s="24"/>
      <c r="AD11" s="25"/>
      <c r="AE11" s="23">
        <f t="shared" si="0"/>
        <v>0</v>
      </c>
      <c r="AF11" s="24">
        <f t="shared" si="0"/>
        <v>0</v>
      </c>
      <c r="AG11" s="23">
        <f t="shared" si="1"/>
        <v>0</v>
      </c>
      <c r="AH11" s="23"/>
      <c r="AI11" s="24"/>
      <c r="AJ11" s="23"/>
      <c r="AK11" s="24"/>
      <c r="AL11" s="23"/>
      <c r="AM11" s="28"/>
      <c r="AN11" s="29"/>
    </row>
    <row r="12" spans="1:40" ht="18" customHeight="1">
      <c r="A12" s="32"/>
      <c r="B12" s="33"/>
      <c r="C12" s="34" t="s">
        <v>44</v>
      </c>
      <c r="D12" s="74"/>
      <c r="E12" s="73"/>
      <c r="F12" s="74"/>
      <c r="G12" s="73"/>
      <c r="H12" s="74"/>
      <c r="I12" s="73"/>
      <c r="J12" s="74"/>
      <c r="K12" s="73"/>
      <c r="L12" s="74"/>
      <c r="M12" s="73"/>
      <c r="N12" s="103"/>
      <c r="O12" s="73"/>
      <c r="P12" s="74"/>
      <c r="Q12" s="73"/>
      <c r="R12" s="74"/>
      <c r="S12" s="73"/>
      <c r="T12" s="74"/>
      <c r="U12" s="73"/>
      <c r="V12" s="74"/>
      <c r="W12" s="73"/>
      <c r="X12" s="74"/>
      <c r="Y12" s="73"/>
      <c r="Z12" s="74"/>
      <c r="AA12" s="73"/>
      <c r="AB12" s="74"/>
      <c r="AC12" s="73"/>
      <c r="AD12" s="66"/>
      <c r="AE12" s="74">
        <f>D12+F12+H12+J12+L12+N12+P12+R12+T12+V12+X12+Z12+AB12</f>
        <v>0</v>
      </c>
      <c r="AF12" s="73"/>
      <c r="AG12" s="35"/>
      <c r="AH12" s="35">
        <f>0+AE12-(0)</f>
        <v>0</v>
      </c>
      <c r="AI12" s="37">
        <f>AH12-(AH6-AI6)*2</f>
        <v>0</v>
      </c>
      <c r="AJ12" s="38">
        <f>IF($AJ$2&gt;0,AH12/$AJ$2,0)</f>
        <v>0</v>
      </c>
      <c r="AK12" s="39">
        <f>IF($AJ$2&gt;0,AI12/$AJ$2,0)</f>
        <v>0</v>
      </c>
      <c r="AL12" s="35"/>
      <c r="AM12" s="40">
        <f>$AJ$2-AH12</f>
        <v>0</v>
      </c>
      <c r="AN12" s="41"/>
    </row>
    <row r="13" spans="1:40" ht="18" customHeight="1">
      <c r="A13" s="87"/>
      <c r="B13" s="88"/>
      <c r="C13" s="42" t="s">
        <v>20</v>
      </c>
      <c r="D13" s="43">
        <f t="shared" ref="D13:AC13" si="2">D6+D7+D8+D9+D10+D11</f>
        <v>0</v>
      </c>
      <c r="E13" s="44">
        <f t="shared" si="2"/>
        <v>0</v>
      </c>
      <c r="F13" s="43">
        <f t="shared" si="2"/>
        <v>0</v>
      </c>
      <c r="G13" s="44">
        <f t="shared" si="2"/>
        <v>0</v>
      </c>
      <c r="H13" s="43">
        <f t="shared" si="2"/>
        <v>0</v>
      </c>
      <c r="I13" s="44">
        <f t="shared" si="2"/>
        <v>0</v>
      </c>
      <c r="J13" s="43">
        <f t="shared" si="2"/>
        <v>0</v>
      </c>
      <c r="K13" s="44">
        <f t="shared" si="2"/>
        <v>0</v>
      </c>
      <c r="L13" s="43">
        <f t="shared" si="2"/>
        <v>0</v>
      </c>
      <c r="M13" s="44">
        <f t="shared" si="2"/>
        <v>0</v>
      </c>
      <c r="N13" s="43">
        <f t="shared" si="2"/>
        <v>0</v>
      </c>
      <c r="O13" s="44">
        <f t="shared" si="2"/>
        <v>0</v>
      </c>
      <c r="P13" s="43">
        <f t="shared" si="2"/>
        <v>0</v>
      </c>
      <c r="Q13" s="44">
        <f t="shared" si="2"/>
        <v>0</v>
      </c>
      <c r="R13" s="43">
        <f t="shared" si="2"/>
        <v>0</v>
      </c>
      <c r="S13" s="44">
        <f t="shared" si="2"/>
        <v>0</v>
      </c>
      <c r="T13" s="43">
        <f t="shared" si="2"/>
        <v>0</v>
      </c>
      <c r="U13" s="44">
        <f t="shared" si="2"/>
        <v>0</v>
      </c>
      <c r="V13" s="43">
        <f t="shared" si="2"/>
        <v>0</v>
      </c>
      <c r="W13" s="44">
        <f t="shared" si="2"/>
        <v>0</v>
      </c>
      <c r="X13" s="43">
        <f t="shared" si="2"/>
        <v>0</v>
      </c>
      <c r="Y13" s="44">
        <f t="shared" si="2"/>
        <v>0</v>
      </c>
      <c r="Z13" s="43">
        <f t="shared" si="2"/>
        <v>0</v>
      </c>
      <c r="AA13" s="44">
        <f t="shared" si="2"/>
        <v>0</v>
      </c>
      <c r="AB13" s="43">
        <f t="shared" si="2"/>
        <v>0</v>
      </c>
      <c r="AC13" s="44">
        <f t="shared" si="2"/>
        <v>0</v>
      </c>
      <c r="AD13" s="45"/>
      <c r="AE13" s="43">
        <f>AE6+AE7+AE8+AE9+AE10+AE11</f>
        <v>0</v>
      </c>
      <c r="AF13" s="44">
        <f>AF6+AF7+AF8+AF9+AF10+AF11</f>
        <v>0</v>
      </c>
      <c r="AG13" s="43">
        <f>AG6+AG7+AG8+AG9+AG10+AG11</f>
        <v>0</v>
      </c>
      <c r="AH13" s="43"/>
      <c r="AI13" s="44"/>
      <c r="AJ13" s="43"/>
      <c r="AK13" s="44"/>
      <c r="AL13" s="43">
        <f>$AG$2-AH6</f>
        <v>0</v>
      </c>
      <c r="AM13" s="46"/>
      <c r="AN13" s="47"/>
    </row>
    <row r="14" spans="1:40" ht="18" customHeight="1">
      <c r="A14" s="76" t="s">
        <v>16</v>
      </c>
      <c r="B14" s="77"/>
      <c r="C14" s="22" t="s">
        <v>46</v>
      </c>
      <c r="D14" s="23"/>
      <c r="E14" s="24"/>
      <c r="F14" s="23"/>
      <c r="G14" s="24"/>
      <c r="H14" s="23"/>
      <c r="I14" s="24"/>
      <c r="J14" s="23"/>
      <c r="K14" s="24"/>
      <c r="L14" s="23"/>
      <c r="M14" s="24"/>
      <c r="N14" s="23"/>
      <c r="O14" s="24"/>
      <c r="P14" s="23"/>
      <c r="Q14" s="24"/>
      <c r="R14" s="23"/>
      <c r="S14" s="24"/>
      <c r="T14" s="23"/>
      <c r="U14" s="24"/>
      <c r="V14" s="23"/>
      <c r="W14" s="24"/>
      <c r="X14" s="23"/>
      <c r="Y14" s="24"/>
      <c r="Z14" s="23"/>
      <c r="AA14" s="24"/>
      <c r="AB14" s="23"/>
      <c r="AC14" s="24"/>
      <c r="AD14" s="25"/>
      <c r="AE14" s="23">
        <f t="shared" ref="AE14:AF19" si="3">D14+F14+H14+J14+L14+N14+P14+R14+T14+V14+X14+Z14+AB14</f>
        <v>0</v>
      </c>
      <c r="AF14" s="24">
        <f t="shared" si="3"/>
        <v>0</v>
      </c>
      <c r="AG14" s="23">
        <f t="shared" ref="AG14:AG19" si="4">AE14+AF14*2</f>
        <v>0</v>
      </c>
      <c r="AH14" s="23">
        <f>AH6+AG14+AG15+AG16+AG17+AG18+AG19-(D54)</f>
        <v>0</v>
      </c>
      <c r="AI14" s="24">
        <f>AI6+AG14+AG15+AG16+AG17+AG18-((D54)-(D51+E51*2))</f>
        <v>0</v>
      </c>
      <c r="AJ14" s="26">
        <f>IF($AG$2&gt;0,AH14/$AG$2,0)</f>
        <v>0</v>
      </c>
      <c r="AK14" s="27">
        <f>IF($AG$2&gt;0,AI14/$AG$2,0)</f>
        <v>0</v>
      </c>
      <c r="AL14" s="23"/>
      <c r="AM14" s="28"/>
      <c r="AN14" s="29"/>
    </row>
    <row r="15" spans="1:40" ht="18" customHeight="1">
      <c r="A15" s="78"/>
      <c r="B15" s="77"/>
      <c r="C15" s="22" t="s">
        <v>47</v>
      </c>
      <c r="D15" s="23"/>
      <c r="E15" s="24"/>
      <c r="F15" s="23"/>
      <c r="G15" s="24"/>
      <c r="H15" s="23"/>
      <c r="I15" s="24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3"/>
      <c r="U15" s="24"/>
      <c r="V15" s="23"/>
      <c r="W15" s="24"/>
      <c r="X15" s="23"/>
      <c r="Y15" s="24"/>
      <c r="Z15" s="23"/>
      <c r="AA15" s="24"/>
      <c r="AB15" s="23"/>
      <c r="AC15" s="24"/>
      <c r="AD15" s="25"/>
      <c r="AE15" s="23">
        <f t="shared" si="3"/>
        <v>0</v>
      </c>
      <c r="AF15" s="24">
        <f t="shared" si="3"/>
        <v>0</v>
      </c>
      <c r="AG15" s="23">
        <f t="shared" si="4"/>
        <v>0</v>
      </c>
      <c r="AH15" s="23"/>
      <c r="AI15" s="24"/>
      <c r="AJ15" s="23"/>
      <c r="AK15" s="24"/>
      <c r="AL15" s="23"/>
      <c r="AM15" s="28"/>
      <c r="AN15" s="29"/>
    </row>
    <row r="16" spans="1:40" ht="18" customHeight="1">
      <c r="A16" s="78"/>
      <c r="B16" s="77"/>
      <c r="C16" s="22" t="s">
        <v>48</v>
      </c>
      <c r="D16" s="23"/>
      <c r="E16" s="24"/>
      <c r="F16" s="23"/>
      <c r="G16" s="24"/>
      <c r="H16" s="23"/>
      <c r="I16" s="24"/>
      <c r="J16" s="23"/>
      <c r="K16" s="24"/>
      <c r="L16" s="23"/>
      <c r="M16" s="24"/>
      <c r="N16" s="23"/>
      <c r="O16" s="24"/>
      <c r="P16" s="23"/>
      <c r="Q16" s="24"/>
      <c r="R16" s="23"/>
      <c r="S16" s="24"/>
      <c r="T16" s="23"/>
      <c r="U16" s="24"/>
      <c r="V16" s="23"/>
      <c r="W16" s="24"/>
      <c r="X16" s="23"/>
      <c r="Y16" s="24"/>
      <c r="Z16" s="23"/>
      <c r="AA16" s="24"/>
      <c r="AB16" s="23"/>
      <c r="AC16" s="24"/>
      <c r="AD16" s="25"/>
      <c r="AE16" s="23">
        <f t="shared" si="3"/>
        <v>0</v>
      </c>
      <c r="AF16" s="24">
        <f t="shared" si="3"/>
        <v>0</v>
      </c>
      <c r="AG16" s="23">
        <f t="shared" si="4"/>
        <v>0</v>
      </c>
      <c r="AH16" s="23"/>
      <c r="AI16" s="24"/>
      <c r="AJ16" s="23"/>
      <c r="AK16" s="24"/>
      <c r="AL16" s="23"/>
      <c r="AM16" s="28"/>
      <c r="AN16" s="29"/>
    </row>
    <row r="17" spans="1:40" ht="18" customHeight="1">
      <c r="A17" s="78"/>
      <c r="B17" s="77"/>
      <c r="C17" s="22" t="s">
        <v>49</v>
      </c>
      <c r="D17" s="23"/>
      <c r="E17" s="24"/>
      <c r="F17" s="23"/>
      <c r="G17" s="24"/>
      <c r="H17" s="23"/>
      <c r="I17" s="24"/>
      <c r="J17" s="23"/>
      <c r="K17" s="24"/>
      <c r="L17" s="23"/>
      <c r="M17" s="24"/>
      <c r="N17" s="23"/>
      <c r="O17" s="24"/>
      <c r="P17" s="23"/>
      <c r="Q17" s="24"/>
      <c r="R17" s="23"/>
      <c r="S17" s="24"/>
      <c r="T17" s="23"/>
      <c r="U17" s="24"/>
      <c r="V17" s="23"/>
      <c r="W17" s="24"/>
      <c r="X17" s="23"/>
      <c r="Y17" s="24"/>
      <c r="Z17" s="23"/>
      <c r="AA17" s="24"/>
      <c r="AB17" s="23"/>
      <c r="AC17" s="24"/>
      <c r="AD17" s="25"/>
      <c r="AE17" s="23">
        <f t="shared" si="3"/>
        <v>0</v>
      </c>
      <c r="AF17" s="24">
        <f t="shared" si="3"/>
        <v>0</v>
      </c>
      <c r="AG17" s="23">
        <f t="shared" si="4"/>
        <v>0</v>
      </c>
      <c r="AH17" s="23"/>
      <c r="AI17" s="24"/>
      <c r="AJ17" s="23"/>
      <c r="AK17" s="24"/>
      <c r="AL17" s="23"/>
      <c r="AM17" s="28"/>
      <c r="AN17" s="29"/>
    </row>
    <row r="18" spans="1:40" ht="18" customHeight="1">
      <c r="A18" s="78"/>
      <c r="B18" s="77"/>
      <c r="C18" s="22" t="s">
        <v>50</v>
      </c>
      <c r="D18" s="23"/>
      <c r="E18" s="24"/>
      <c r="F18" s="23"/>
      <c r="G18" s="24"/>
      <c r="H18" s="23"/>
      <c r="I18" s="24"/>
      <c r="J18" s="23"/>
      <c r="K18" s="24"/>
      <c r="L18" s="23"/>
      <c r="M18" s="24"/>
      <c r="N18" s="23"/>
      <c r="O18" s="24"/>
      <c r="P18" s="23"/>
      <c r="Q18" s="24"/>
      <c r="R18" s="23"/>
      <c r="S18" s="24"/>
      <c r="T18" s="23"/>
      <c r="U18" s="24"/>
      <c r="V18" s="23"/>
      <c r="W18" s="24"/>
      <c r="X18" s="23"/>
      <c r="Y18" s="24"/>
      <c r="Z18" s="23"/>
      <c r="AA18" s="24"/>
      <c r="AB18" s="23"/>
      <c r="AC18" s="24"/>
      <c r="AD18" s="25"/>
      <c r="AE18" s="23">
        <f t="shared" si="3"/>
        <v>0</v>
      </c>
      <c r="AF18" s="24">
        <f t="shared" si="3"/>
        <v>0</v>
      </c>
      <c r="AG18" s="23">
        <f t="shared" si="4"/>
        <v>0</v>
      </c>
      <c r="AH18" s="23"/>
      <c r="AI18" s="24"/>
      <c r="AJ18" s="23"/>
      <c r="AK18" s="24"/>
      <c r="AL18" s="23"/>
      <c r="AM18" s="28"/>
      <c r="AN18" s="29">
        <f>AN10-(AE18+AF18)+(D50+E50)</f>
        <v>0</v>
      </c>
    </row>
    <row r="19" spans="1:40" ht="18" customHeight="1">
      <c r="A19" s="20" t="s">
        <v>52</v>
      </c>
      <c r="B19" s="31" t="s">
        <v>56</v>
      </c>
      <c r="C19" s="22" t="s">
        <v>51</v>
      </c>
      <c r="D19" s="23"/>
      <c r="E19" s="24"/>
      <c r="F19" s="23"/>
      <c r="G19" s="24"/>
      <c r="H19" s="23"/>
      <c r="I19" s="24"/>
      <c r="J19" s="23"/>
      <c r="K19" s="24"/>
      <c r="L19" s="23"/>
      <c r="M19" s="24"/>
      <c r="N19" s="23"/>
      <c r="O19" s="24"/>
      <c r="P19" s="23"/>
      <c r="Q19" s="24"/>
      <c r="R19" s="23"/>
      <c r="S19" s="24"/>
      <c r="T19" s="23"/>
      <c r="U19" s="24"/>
      <c r="V19" s="23"/>
      <c r="W19" s="24"/>
      <c r="X19" s="23"/>
      <c r="Y19" s="24"/>
      <c r="Z19" s="23"/>
      <c r="AA19" s="24"/>
      <c r="AB19" s="23"/>
      <c r="AC19" s="24"/>
      <c r="AD19" s="25"/>
      <c r="AE19" s="23">
        <f t="shared" si="3"/>
        <v>0</v>
      </c>
      <c r="AF19" s="24">
        <f t="shared" si="3"/>
        <v>0</v>
      </c>
      <c r="AG19" s="23">
        <f t="shared" si="4"/>
        <v>0</v>
      </c>
      <c r="AH19" s="23"/>
      <c r="AI19" s="24"/>
      <c r="AJ19" s="23"/>
      <c r="AK19" s="24"/>
      <c r="AL19" s="23"/>
      <c r="AM19" s="28"/>
      <c r="AN19" s="29"/>
    </row>
    <row r="20" spans="1:40" ht="18" customHeight="1">
      <c r="A20" s="32" t="s">
        <v>54</v>
      </c>
      <c r="B20" s="33" t="s">
        <v>33</v>
      </c>
      <c r="C20" s="34" t="s">
        <v>44</v>
      </c>
      <c r="D20" s="74"/>
      <c r="E20" s="73"/>
      <c r="F20" s="74"/>
      <c r="G20" s="73"/>
      <c r="H20" s="74"/>
      <c r="I20" s="73"/>
      <c r="J20" s="74"/>
      <c r="K20" s="73"/>
      <c r="L20" s="74"/>
      <c r="M20" s="73"/>
      <c r="N20" s="103"/>
      <c r="O20" s="73"/>
      <c r="P20" s="74"/>
      <c r="Q20" s="73"/>
      <c r="R20" s="74"/>
      <c r="S20" s="73"/>
      <c r="T20" s="74"/>
      <c r="U20" s="73"/>
      <c r="V20" s="74"/>
      <c r="W20" s="73"/>
      <c r="X20" s="74"/>
      <c r="Y20" s="73"/>
      <c r="Z20" s="74"/>
      <c r="AA20" s="73"/>
      <c r="AB20" s="74"/>
      <c r="AC20" s="73"/>
      <c r="AD20" s="66"/>
      <c r="AE20" s="74">
        <f>D20+F20+H20+J20+L20+N20+P20+R20+T20+V20+X20+Z20+AB20</f>
        <v>0</v>
      </c>
      <c r="AF20" s="73"/>
      <c r="AG20" s="35"/>
      <c r="AH20" s="35">
        <f>AH12+AE20-(D55)</f>
        <v>0</v>
      </c>
      <c r="AI20" s="37">
        <f>AH20-(AH14-AI14)*2</f>
        <v>0</v>
      </c>
      <c r="AJ20" s="38">
        <f>IF($AJ$2&gt;0,AH20/$AJ$2,0)</f>
        <v>0</v>
      </c>
      <c r="AK20" s="39">
        <f>IF($AJ$2&gt;0,AI20/$AJ$2,0)</f>
        <v>0</v>
      </c>
      <c r="AL20" s="35"/>
      <c r="AM20" s="40">
        <f>$AJ$2-AH20</f>
        <v>0</v>
      </c>
      <c r="AN20" s="41"/>
    </row>
    <row r="21" spans="1:40" ht="18" customHeight="1">
      <c r="A21" s="87"/>
      <c r="B21" s="88"/>
      <c r="C21" s="42" t="s">
        <v>20</v>
      </c>
      <c r="D21" s="43">
        <f t="shared" ref="D21:AC21" si="5">D14+D15+D16+D17+D18+D19</f>
        <v>0</v>
      </c>
      <c r="E21" s="44">
        <f t="shared" si="5"/>
        <v>0</v>
      </c>
      <c r="F21" s="43">
        <f t="shared" si="5"/>
        <v>0</v>
      </c>
      <c r="G21" s="44">
        <f t="shared" si="5"/>
        <v>0</v>
      </c>
      <c r="H21" s="43">
        <f t="shared" si="5"/>
        <v>0</v>
      </c>
      <c r="I21" s="44">
        <f t="shared" si="5"/>
        <v>0</v>
      </c>
      <c r="J21" s="43">
        <f t="shared" si="5"/>
        <v>0</v>
      </c>
      <c r="K21" s="44">
        <f t="shared" si="5"/>
        <v>0</v>
      </c>
      <c r="L21" s="43">
        <f t="shared" si="5"/>
        <v>0</v>
      </c>
      <c r="M21" s="44">
        <f t="shared" si="5"/>
        <v>0</v>
      </c>
      <c r="N21" s="43">
        <f t="shared" si="5"/>
        <v>0</v>
      </c>
      <c r="O21" s="44">
        <f t="shared" si="5"/>
        <v>0</v>
      </c>
      <c r="P21" s="43">
        <f t="shared" si="5"/>
        <v>0</v>
      </c>
      <c r="Q21" s="44">
        <f t="shared" si="5"/>
        <v>0</v>
      </c>
      <c r="R21" s="43">
        <f t="shared" si="5"/>
        <v>0</v>
      </c>
      <c r="S21" s="44">
        <f t="shared" si="5"/>
        <v>0</v>
      </c>
      <c r="T21" s="43">
        <f t="shared" si="5"/>
        <v>0</v>
      </c>
      <c r="U21" s="44">
        <f t="shared" si="5"/>
        <v>0</v>
      </c>
      <c r="V21" s="43">
        <f t="shared" si="5"/>
        <v>0</v>
      </c>
      <c r="W21" s="44">
        <f t="shared" si="5"/>
        <v>0</v>
      </c>
      <c r="X21" s="43">
        <f t="shared" si="5"/>
        <v>0</v>
      </c>
      <c r="Y21" s="44">
        <f t="shared" si="5"/>
        <v>0</v>
      </c>
      <c r="Z21" s="43">
        <f t="shared" si="5"/>
        <v>0</v>
      </c>
      <c r="AA21" s="44">
        <f t="shared" si="5"/>
        <v>0</v>
      </c>
      <c r="AB21" s="43">
        <f t="shared" si="5"/>
        <v>0</v>
      </c>
      <c r="AC21" s="44">
        <f t="shared" si="5"/>
        <v>0</v>
      </c>
      <c r="AD21" s="45"/>
      <c r="AE21" s="43">
        <f>AE14+AE15+AE16+AE17+AE18+AE19</f>
        <v>0</v>
      </c>
      <c r="AF21" s="44">
        <f>AF14+AF15+AF16+AF17+AF18+AF19</f>
        <v>0</v>
      </c>
      <c r="AG21" s="43">
        <f>AG14+AG15+AG16+AG17+AG18+AG19</f>
        <v>0</v>
      </c>
      <c r="AH21" s="43"/>
      <c r="AI21" s="44"/>
      <c r="AJ21" s="43"/>
      <c r="AK21" s="44"/>
      <c r="AL21" s="43">
        <f>$AG$2-AH14</f>
        <v>0</v>
      </c>
      <c r="AM21" s="46"/>
      <c r="AN21" s="47"/>
    </row>
    <row r="22" spans="1:40" ht="18" customHeight="1">
      <c r="A22" s="76" t="s">
        <v>17</v>
      </c>
      <c r="B22" s="77"/>
      <c r="C22" s="22" t="s">
        <v>46</v>
      </c>
      <c r="D22" s="23"/>
      <c r="E22" s="24"/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3"/>
      <c r="U22" s="24"/>
      <c r="V22" s="23"/>
      <c r="W22" s="24"/>
      <c r="X22" s="23"/>
      <c r="Y22" s="24"/>
      <c r="Z22" s="23"/>
      <c r="AA22" s="24"/>
      <c r="AB22" s="23"/>
      <c r="AC22" s="24"/>
      <c r="AD22" s="25"/>
      <c r="AE22" s="23">
        <f t="shared" ref="AE22:AF27" si="6">D22+F22+H22+J22+L22+N22+P22+R22+T22+V22+X22+Z22+AB22</f>
        <v>0</v>
      </c>
      <c r="AF22" s="24">
        <f t="shared" si="6"/>
        <v>0</v>
      </c>
      <c r="AG22" s="23">
        <f t="shared" ref="AG22:AG27" si="7">AE22+AF22*2</f>
        <v>0</v>
      </c>
      <c r="AH22" s="23">
        <f>AH14+AG22+AG23+AG24+AG25+AG26+AG27-(F54)</f>
        <v>0</v>
      </c>
      <c r="AI22" s="24">
        <f>AI14+AG22+AG23+AG24+AG25+AG26-((F54)-(F51+G51*2))</f>
        <v>0</v>
      </c>
      <c r="AJ22" s="26">
        <f>IF($AG$2&gt;0,AH22/$AG$2,0)</f>
        <v>0</v>
      </c>
      <c r="AK22" s="27">
        <f>IF($AG$2&gt;0,AI22/$AG$2,0)</f>
        <v>0</v>
      </c>
      <c r="AL22" s="23"/>
      <c r="AM22" s="28"/>
      <c r="AN22" s="29"/>
    </row>
    <row r="23" spans="1:40" ht="18" customHeight="1">
      <c r="A23" s="78"/>
      <c r="B23" s="77"/>
      <c r="C23" s="22" t="s">
        <v>47</v>
      </c>
      <c r="D23" s="23"/>
      <c r="E23" s="24"/>
      <c r="F23" s="23"/>
      <c r="G23" s="24"/>
      <c r="H23" s="23"/>
      <c r="I23" s="24"/>
      <c r="J23" s="23"/>
      <c r="K23" s="24"/>
      <c r="L23" s="23"/>
      <c r="M23" s="24"/>
      <c r="N23" s="23"/>
      <c r="O23" s="24"/>
      <c r="P23" s="23"/>
      <c r="Q23" s="24"/>
      <c r="R23" s="23"/>
      <c r="S23" s="24"/>
      <c r="T23" s="23"/>
      <c r="U23" s="24"/>
      <c r="V23" s="23"/>
      <c r="W23" s="24"/>
      <c r="X23" s="23"/>
      <c r="Y23" s="24"/>
      <c r="Z23" s="23"/>
      <c r="AA23" s="24"/>
      <c r="AB23" s="23"/>
      <c r="AC23" s="24"/>
      <c r="AD23" s="25"/>
      <c r="AE23" s="23">
        <f t="shared" si="6"/>
        <v>0</v>
      </c>
      <c r="AF23" s="24">
        <f t="shared" si="6"/>
        <v>0</v>
      </c>
      <c r="AG23" s="23">
        <f t="shared" si="7"/>
        <v>0</v>
      </c>
      <c r="AH23" s="23"/>
      <c r="AI23" s="24"/>
      <c r="AJ23" s="23"/>
      <c r="AK23" s="24"/>
      <c r="AL23" s="23"/>
      <c r="AM23" s="28"/>
      <c r="AN23" s="29"/>
    </row>
    <row r="24" spans="1:40" ht="18" customHeight="1">
      <c r="A24" s="78"/>
      <c r="B24" s="77"/>
      <c r="C24" s="22" t="s">
        <v>48</v>
      </c>
      <c r="D24" s="23"/>
      <c r="E24" s="24"/>
      <c r="F24" s="23"/>
      <c r="G24" s="24"/>
      <c r="H24" s="23"/>
      <c r="I24" s="24"/>
      <c r="J24" s="23"/>
      <c r="K24" s="24"/>
      <c r="L24" s="23"/>
      <c r="M24" s="24"/>
      <c r="N24" s="23"/>
      <c r="O24" s="24"/>
      <c r="P24" s="23"/>
      <c r="Q24" s="24"/>
      <c r="R24" s="23"/>
      <c r="S24" s="24"/>
      <c r="T24" s="23"/>
      <c r="U24" s="24"/>
      <c r="V24" s="23"/>
      <c r="W24" s="24"/>
      <c r="X24" s="23"/>
      <c r="Y24" s="24"/>
      <c r="Z24" s="23"/>
      <c r="AA24" s="24"/>
      <c r="AB24" s="23"/>
      <c r="AC24" s="24"/>
      <c r="AD24" s="25"/>
      <c r="AE24" s="23">
        <f t="shared" si="6"/>
        <v>0</v>
      </c>
      <c r="AF24" s="24">
        <f t="shared" si="6"/>
        <v>0</v>
      </c>
      <c r="AG24" s="23">
        <f t="shared" si="7"/>
        <v>0</v>
      </c>
      <c r="AH24" s="23"/>
      <c r="AI24" s="24"/>
      <c r="AJ24" s="23"/>
      <c r="AK24" s="24"/>
      <c r="AL24" s="23"/>
      <c r="AM24" s="28"/>
      <c r="AN24" s="29"/>
    </row>
    <row r="25" spans="1:40" ht="18" customHeight="1">
      <c r="A25" s="78"/>
      <c r="B25" s="77"/>
      <c r="C25" s="22" t="s">
        <v>49</v>
      </c>
      <c r="D25" s="23"/>
      <c r="E25" s="24"/>
      <c r="F25" s="23"/>
      <c r="G25" s="24"/>
      <c r="H25" s="23"/>
      <c r="I25" s="24"/>
      <c r="J25" s="23"/>
      <c r="K25" s="24"/>
      <c r="L25" s="23"/>
      <c r="M25" s="24"/>
      <c r="N25" s="23"/>
      <c r="O25" s="24"/>
      <c r="P25" s="23"/>
      <c r="Q25" s="24"/>
      <c r="R25" s="23"/>
      <c r="S25" s="24"/>
      <c r="T25" s="23"/>
      <c r="U25" s="24"/>
      <c r="V25" s="23"/>
      <c r="W25" s="24"/>
      <c r="X25" s="23"/>
      <c r="Y25" s="24"/>
      <c r="Z25" s="23"/>
      <c r="AA25" s="24"/>
      <c r="AB25" s="23"/>
      <c r="AC25" s="24"/>
      <c r="AD25" s="25"/>
      <c r="AE25" s="23">
        <f t="shared" si="6"/>
        <v>0</v>
      </c>
      <c r="AF25" s="24">
        <f t="shared" si="6"/>
        <v>0</v>
      </c>
      <c r="AG25" s="23">
        <f t="shared" si="7"/>
        <v>0</v>
      </c>
      <c r="AH25" s="23"/>
      <c r="AI25" s="24"/>
      <c r="AJ25" s="23"/>
      <c r="AK25" s="24"/>
      <c r="AL25" s="23"/>
      <c r="AM25" s="28"/>
      <c r="AN25" s="29"/>
    </row>
    <row r="26" spans="1:40" ht="18" customHeight="1">
      <c r="A26" s="78"/>
      <c r="B26" s="77"/>
      <c r="C26" s="22" t="s">
        <v>50</v>
      </c>
      <c r="D26" s="23"/>
      <c r="E26" s="24"/>
      <c r="F26" s="23"/>
      <c r="G26" s="24"/>
      <c r="H26" s="23"/>
      <c r="I26" s="24"/>
      <c r="J26" s="23"/>
      <c r="K26" s="24"/>
      <c r="L26" s="23"/>
      <c r="M26" s="24"/>
      <c r="N26" s="23"/>
      <c r="O26" s="24"/>
      <c r="P26" s="23"/>
      <c r="Q26" s="24"/>
      <c r="R26" s="23"/>
      <c r="S26" s="24"/>
      <c r="T26" s="23"/>
      <c r="U26" s="24"/>
      <c r="V26" s="23"/>
      <c r="W26" s="24"/>
      <c r="X26" s="23"/>
      <c r="Y26" s="24"/>
      <c r="Z26" s="23"/>
      <c r="AA26" s="24"/>
      <c r="AB26" s="23"/>
      <c r="AC26" s="24"/>
      <c r="AD26" s="25"/>
      <c r="AE26" s="23">
        <f t="shared" si="6"/>
        <v>0</v>
      </c>
      <c r="AF26" s="24">
        <f t="shared" si="6"/>
        <v>0</v>
      </c>
      <c r="AG26" s="23">
        <f t="shared" si="7"/>
        <v>0</v>
      </c>
      <c r="AH26" s="23"/>
      <c r="AI26" s="24"/>
      <c r="AJ26" s="23"/>
      <c r="AK26" s="24"/>
      <c r="AL26" s="23"/>
      <c r="AM26" s="28"/>
      <c r="AN26" s="29">
        <f>AN18-(AE26+AF26)+(F50+G50)</f>
        <v>0</v>
      </c>
    </row>
    <row r="27" spans="1:40" ht="18" customHeight="1">
      <c r="A27" s="20" t="s">
        <v>52</v>
      </c>
      <c r="B27" s="31" t="s">
        <v>57</v>
      </c>
      <c r="C27" s="22" t="s">
        <v>51</v>
      </c>
      <c r="D27" s="23"/>
      <c r="E27" s="24"/>
      <c r="F27" s="23"/>
      <c r="G27" s="24"/>
      <c r="H27" s="23"/>
      <c r="I27" s="24"/>
      <c r="J27" s="23"/>
      <c r="K27" s="24"/>
      <c r="L27" s="23"/>
      <c r="M27" s="24"/>
      <c r="N27" s="23"/>
      <c r="O27" s="24"/>
      <c r="P27" s="23"/>
      <c r="Q27" s="24"/>
      <c r="R27" s="23"/>
      <c r="S27" s="24"/>
      <c r="T27" s="23"/>
      <c r="U27" s="24"/>
      <c r="V27" s="23"/>
      <c r="W27" s="24"/>
      <c r="X27" s="23"/>
      <c r="Y27" s="24"/>
      <c r="Z27" s="23"/>
      <c r="AA27" s="24"/>
      <c r="AB27" s="23"/>
      <c r="AC27" s="24"/>
      <c r="AD27" s="25"/>
      <c r="AE27" s="23">
        <f t="shared" si="6"/>
        <v>0</v>
      </c>
      <c r="AF27" s="24">
        <f t="shared" si="6"/>
        <v>0</v>
      </c>
      <c r="AG27" s="23">
        <f t="shared" si="7"/>
        <v>0</v>
      </c>
      <c r="AH27" s="23"/>
      <c r="AI27" s="24"/>
      <c r="AJ27" s="23"/>
      <c r="AK27" s="24"/>
      <c r="AL27" s="23"/>
      <c r="AM27" s="28"/>
      <c r="AN27" s="29"/>
    </row>
    <row r="28" spans="1:40" ht="18" customHeight="1">
      <c r="A28" s="32" t="s">
        <v>54</v>
      </c>
      <c r="B28" s="33" t="s">
        <v>34</v>
      </c>
      <c r="C28" s="34" t="s">
        <v>44</v>
      </c>
      <c r="D28" s="74"/>
      <c r="E28" s="73"/>
      <c r="F28" s="74"/>
      <c r="G28" s="73"/>
      <c r="H28" s="74"/>
      <c r="I28" s="73"/>
      <c r="J28" s="74"/>
      <c r="K28" s="73"/>
      <c r="L28" s="74"/>
      <c r="M28" s="73"/>
      <c r="N28" s="103"/>
      <c r="O28" s="73"/>
      <c r="P28" s="74"/>
      <c r="Q28" s="73"/>
      <c r="R28" s="74"/>
      <c r="S28" s="73"/>
      <c r="T28" s="74"/>
      <c r="U28" s="73"/>
      <c r="V28" s="74"/>
      <c r="W28" s="73"/>
      <c r="X28" s="74"/>
      <c r="Y28" s="73"/>
      <c r="Z28" s="74"/>
      <c r="AA28" s="73"/>
      <c r="AB28" s="74"/>
      <c r="AC28" s="73"/>
      <c r="AD28" s="66"/>
      <c r="AE28" s="74">
        <f>D28+F28+H28+J28+L28+N28+P28+R28+T28+V28+X28+Z28+AB28</f>
        <v>0</v>
      </c>
      <c r="AF28" s="73"/>
      <c r="AG28" s="35"/>
      <c r="AH28" s="35">
        <f>AH20+AE28-(F55)</f>
        <v>0</v>
      </c>
      <c r="AI28" s="37">
        <f>AH28-(AH22-AI22)*2</f>
        <v>0</v>
      </c>
      <c r="AJ28" s="38">
        <f>IF($AJ$2&gt;0,AH28/$AJ$2,0)</f>
        <v>0</v>
      </c>
      <c r="AK28" s="39">
        <f>IF($AJ$2&gt;0,AI28/$AJ$2,0)</f>
        <v>0</v>
      </c>
      <c r="AL28" s="35"/>
      <c r="AM28" s="40">
        <f>$AJ$2-AH28</f>
        <v>0</v>
      </c>
      <c r="AN28" s="41"/>
    </row>
    <row r="29" spans="1:40" ht="18" customHeight="1">
      <c r="A29" s="87"/>
      <c r="B29" s="88"/>
      <c r="C29" s="42" t="s">
        <v>20</v>
      </c>
      <c r="D29" s="43">
        <f t="shared" ref="D29:AC29" si="8">D22+D23+D24+D25+D26+D27</f>
        <v>0</v>
      </c>
      <c r="E29" s="44">
        <f t="shared" si="8"/>
        <v>0</v>
      </c>
      <c r="F29" s="43">
        <f t="shared" si="8"/>
        <v>0</v>
      </c>
      <c r="G29" s="44">
        <f t="shared" si="8"/>
        <v>0</v>
      </c>
      <c r="H29" s="43">
        <f t="shared" si="8"/>
        <v>0</v>
      </c>
      <c r="I29" s="44">
        <f t="shared" si="8"/>
        <v>0</v>
      </c>
      <c r="J29" s="43">
        <f t="shared" si="8"/>
        <v>0</v>
      </c>
      <c r="K29" s="44">
        <f t="shared" si="8"/>
        <v>0</v>
      </c>
      <c r="L29" s="43">
        <f t="shared" si="8"/>
        <v>0</v>
      </c>
      <c r="M29" s="44">
        <f t="shared" si="8"/>
        <v>0</v>
      </c>
      <c r="N29" s="43">
        <f t="shared" si="8"/>
        <v>0</v>
      </c>
      <c r="O29" s="44">
        <f t="shared" si="8"/>
        <v>0</v>
      </c>
      <c r="P29" s="43">
        <f t="shared" si="8"/>
        <v>0</v>
      </c>
      <c r="Q29" s="44">
        <f t="shared" si="8"/>
        <v>0</v>
      </c>
      <c r="R29" s="43">
        <f t="shared" si="8"/>
        <v>0</v>
      </c>
      <c r="S29" s="44">
        <f t="shared" si="8"/>
        <v>0</v>
      </c>
      <c r="T29" s="43">
        <f t="shared" si="8"/>
        <v>0</v>
      </c>
      <c r="U29" s="44">
        <f t="shared" si="8"/>
        <v>0</v>
      </c>
      <c r="V29" s="43">
        <f t="shared" si="8"/>
        <v>0</v>
      </c>
      <c r="W29" s="44">
        <f t="shared" si="8"/>
        <v>0</v>
      </c>
      <c r="X29" s="43">
        <f t="shared" si="8"/>
        <v>0</v>
      </c>
      <c r="Y29" s="44">
        <f t="shared" si="8"/>
        <v>0</v>
      </c>
      <c r="Z29" s="43">
        <f t="shared" si="8"/>
        <v>0</v>
      </c>
      <c r="AA29" s="44">
        <f t="shared" si="8"/>
        <v>0</v>
      </c>
      <c r="AB29" s="43">
        <f t="shared" si="8"/>
        <v>0</v>
      </c>
      <c r="AC29" s="44">
        <f t="shared" si="8"/>
        <v>0</v>
      </c>
      <c r="AD29" s="45"/>
      <c r="AE29" s="43">
        <f>AE22+AE23+AE24+AE25+AE26+AE27</f>
        <v>0</v>
      </c>
      <c r="AF29" s="44">
        <f>AF22+AF23+AF24+AF25+AF26+AF27</f>
        <v>0</v>
      </c>
      <c r="AG29" s="43">
        <f>AG22+AG23+AG24+AG25+AG26+AG27</f>
        <v>0</v>
      </c>
      <c r="AH29" s="43"/>
      <c r="AI29" s="44"/>
      <c r="AJ29" s="43"/>
      <c r="AK29" s="44"/>
      <c r="AL29" s="43">
        <f>$AG$2-AH22</f>
        <v>0</v>
      </c>
      <c r="AM29" s="46"/>
      <c r="AN29" s="47"/>
    </row>
    <row r="30" spans="1:40" ht="18" customHeight="1">
      <c r="A30" s="76" t="s">
        <v>18</v>
      </c>
      <c r="B30" s="77"/>
      <c r="C30" s="22" t="s">
        <v>46</v>
      </c>
      <c r="D30" s="23"/>
      <c r="E30" s="24"/>
      <c r="F30" s="23"/>
      <c r="G30" s="24"/>
      <c r="H30" s="23"/>
      <c r="I30" s="24"/>
      <c r="J30" s="23"/>
      <c r="K30" s="24"/>
      <c r="L30" s="23"/>
      <c r="M30" s="24"/>
      <c r="N30" s="23"/>
      <c r="O30" s="24"/>
      <c r="P30" s="23"/>
      <c r="Q30" s="24"/>
      <c r="R30" s="23"/>
      <c r="S30" s="24"/>
      <c r="T30" s="23"/>
      <c r="U30" s="24"/>
      <c r="V30" s="23"/>
      <c r="W30" s="24"/>
      <c r="X30" s="23"/>
      <c r="Y30" s="24"/>
      <c r="Z30" s="23"/>
      <c r="AA30" s="24"/>
      <c r="AB30" s="23"/>
      <c r="AC30" s="24"/>
      <c r="AD30" s="25"/>
      <c r="AE30" s="23">
        <f t="shared" ref="AE30:AF35" si="9">D30+F30+H30+J30+L30+N30+P30+R30+T30+V30+X30+Z30+AB30</f>
        <v>0</v>
      </c>
      <c r="AF30" s="24">
        <f t="shared" si="9"/>
        <v>0</v>
      </c>
      <c r="AG30" s="23">
        <f t="shared" ref="AG30:AG35" si="10">AE30+AF30*2</f>
        <v>0</v>
      </c>
      <c r="AH30" s="23">
        <f>AH22+AG30+AG31+AG32+AG33+AG34+AG35-(H54)</f>
        <v>0</v>
      </c>
      <c r="AI30" s="24">
        <f>AI22+AG30+AG31+AG32+AG33+AG34-((H54)-(H51+I51*2))</f>
        <v>0</v>
      </c>
      <c r="AJ30" s="26">
        <f>IF($AG$2&gt;0,AH30/$AG$2,0)</f>
        <v>0</v>
      </c>
      <c r="AK30" s="27">
        <f>IF($AG$2&gt;0,AI30/$AG$2,0)</f>
        <v>0</v>
      </c>
      <c r="AL30" s="23"/>
      <c r="AM30" s="28"/>
      <c r="AN30" s="29"/>
    </row>
    <row r="31" spans="1:40" ht="18" customHeight="1">
      <c r="A31" s="78"/>
      <c r="B31" s="77"/>
      <c r="C31" s="22" t="s">
        <v>47</v>
      </c>
      <c r="D31" s="23"/>
      <c r="E31" s="24"/>
      <c r="F31" s="23"/>
      <c r="G31" s="24"/>
      <c r="H31" s="23"/>
      <c r="I31" s="24"/>
      <c r="J31" s="23"/>
      <c r="K31" s="24"/>
      <c r="L31" s="23"/>
      <c r="M31" s="24"/>
      <c r="N31" s="23"/>
      <c r="O31" s="24"/>
      <c r="P31" s="23"/>
      <c r="Q31" s="24"/>
      <c r="R31" s="23"/>
      <c r="S31" s="24"/>
      <c r="T31" s="23"/>
      <c r="U31" s="24"/>
      <c r="V31" s="23"/>
      <c r="W31" s="24"/>
      <c r="X31" s="23"/>
      <c r="Y31" s="24"/>
      <c r="Z31" s="23"/>
      <c r="AA31" s="24"/>
      <c r="AB31" s="23"/>
      <c r="AC31" s="24"/>
      <c r="AD31" s="25"/>
      <c r="AE31" s="23">
        <f t="shared" si="9"/>
        <v>0</v>
      </c>
      <c r="AF31" s="24">
        <f t="shared" si="9"/>
        <v>0</v>
      </c>
      <c r="AG31" s="23">
        <f t="shared" si="10"/>
        <v>0</v>
      </c>
      <c r="AH31" s="23"/>
      <c r="AI31" s="24"/>
      <c r="AJ31" s="23"/>
      <c r="AK31" s="24"/>
      <c r="AL31" s="23"/>
      <c r="AM31" s="28"/>
      <c r="AN31" s="29"/>
    </row>
    <row r="32" spans="1:40" ht="18" customHeight="1">
      <c r="A32" s="78"/>
      <c r="B32" s="77"/>
      <c r="C32" s="22" t="s">
        <v>48</v>
      </c>
      <c r="D32" s="23"/>
      <c r="E32" s="24"/>
      <c r="F32" s="23"/>
      <c r="G32" s="24"/>
      <c r="H32" s="23"/>
      <c r="I32" s="24"/>
      <c r="J32" s="23"/>
      <c r="K32" s="24"/>
      <c r="L32" s="23"/>
      <c r="M32" s="24"/>
      <c r="N32" s="23"/>
      <c r="O32" s="24"/>
      <c r="P32" s="23"/>
      <c r="Q32" s="24"/>
      <c r="R32" s="23"/>
      <c r="S32" s="24"/>
      <c r="T32" s="23"/>
      <c r="U32" s="24"/>
      <c r="V32" s="23"/>
      <c r="W32" s="24"/>
      <c r="X32" s="23"/>
      <c r="Y32" s="24"/>
      <c r="Z32" s="23"/>
      <c r="AA32" s="24"/>
      <c r="AB32" s="23"/>
      <c r="AC32" s="24"/>
      <c r="AD32" s="25"/>
      <c r="AE32" s="23">
        <f t="shared" si="9"/>
        <v>0</v>
      </c>
      <c r="AF32" s="24">
        <f t="shared" si="9"/>
        <v>0</v>
      </c>
      <c r="AG32" s="23">
        <f t="shared" si="10"/>
        <v>0</v>
      </c>
      <c r="AH32" s="23"/>
      <c r="AI32" s="24"/>
      <c r="AJ32" s="23"/>
      <c r="AK32" s="24"/>
      <c r="AL32" s="23"/>
      <c r="AM32" s="28"/>
      <c r="AN32" s="29"/>
    </row>
    <row r="33" spans="1:40" ht="18" customHeight="1">
      <c r="A33" s="78"/>
      <c r="B33" s="77"/>
      <c r="C33" s="22" t="s">
        <v>49</v>
      </c>
      <c r="D33" s="23"/>
      <c r="E33" s="24"/>
      <c r="F33" s="23"/>
      <c r="G33" s="24"/>
      <c r="H33" s="23"/>
      <c r="I33" s="24"/>
      <c r="J33" s="23"/>
      <c r="K33" s="24"/>
      <c r="L33" s="23"/>
      <c r="M33" s="24"/>
      <c r="N33" s="23"/>
      <c r="O33" s="24"/>
      <c r="P33" s="23"/>
      <c r="Q33" s="24"/>
      <c r="R33" s="23"/>
      <c r="S33" s="24"/>
      <c r="T33" s="23"/>
      <c r="U33" s="24"/>
      <c r="V33" s="23"/>
      <c r="W33" s="24"/>
      <c r="X33" s="23"/>
      <c r="Y33" s="24"/>
      <c r="Z33" s="23"/>
      <c r="AA33" s="24"/>
      <c r="AB33" s="23"/>
      <c r="AC33" s="24"/>
      <c r="AD33" s="25"/>
      <c r="AE33" s="23">
        <f t="shared" si="9"/>
        <v>0</v>
      </c>
      <c r="AF33" s="24">
        <f t="shared" si="9"/>
        <v>0</v>
      </c>
      <c r="AG33" s="23">
        <f t="shared" si="10"/>
        <v>0</v>
      </c>
      <c r="AH33" s="23"/>
      <c r="AI33" s="24"/>
      <c r="AJ33" s="23"/>
      <c r="AK33" s="24"/>
      <c r="AL33" s="23"/>
      <c r="AM33" s="28"/>
      <c r="AN33" s="29"/>
    </row>
    <row r="34" spans="1:40" ht="18" customHeight="1">
      <c r="A34" s="78"/>
      <c r="B34" s="77"/>
      <c r="C34" s="22" t="s">
        <v>50</v>
      </c>
      <c r="D34" s="23"/>
      <c r="E34" s="24"/>
      <c r="F34" s="23"/>
      <c r="G34" s="24"/>
      <c r="H34" s="23"/>
      <c r="I34" s="24"/>
      <c r="J34" s="23"/>
      <c r="K34" s="24"/>
      <c r="L34" s="23"/>
      <c r="M34" s="24"/>
      <c r="N34" s="23"/>
      <c r="O34" s="24"/>
      <c r="P34" s="23"/>
      <c r="Q34" s="24"/>
      <c r="R34" s="23"/>
      <c r="S34" s="24"/>
      <c r="T34" s="23"/>
      <c r="U34" s="24"/>
      <c r="V34" s="23"/>
      <c r="W34" s="24"/>
      <c r="X34" s="23"/>
      <c r="Y34" s="24"/>
      <c r="Z34" s="23"/>
      <c r="AA34" s="24"/>
      <c r="AB34" s="23"/>
      <c r="AC34" s="24"/>
      <c r="AD34" s="25"/>
      <c r="AE34" s="23">
        <f t="shared" si="9"/>
        <v>0</v>
      </c>
      <c r="AF34" s="24">
        <f t="shared" si="9"/>
        <v>0</v>
      </c>
      <c r="AG34" s="23">
        <f t="shared" si="10"/>
        <v>0</v>
      </c>
      <c r="AH34" s="23"/>
      <c r="AI34" s="24"/>
      <c r="AJ34" s="23"/>
      <c r="AK34" s="24"/>
      <c r="AL34" s="23"/>
      <c r="AM34" s="28"/>
      <c r="AN34" s="29">
        <f>AN26-(AE34+AF34)+(H50+I50)</f>
        <v>0</v>
      </c>
    </row>
    <row r="35" spans="1:40" ht="18" customHeight="1">
      <c r="A35" s="20" t="s">
        <v>52</v>
      </c>
      <c r="B35" s="31" t="s">
        <v>58</v>
      </c>
      <c r="C35" s="22" t="s">
        <v>51</v>
      </c>
      <c r="D35" s="23"/>
      <c r="E35" s="24"/>
      <c r="F35" s="23"/>
      <c r="G35" s="24"/>
      <c r="H35" s="23"/>
      <c r="I35" s="24"/>
      <c r="J35" s="23"/>
      <c r="K35" s="24"/>
      <c r="L35" s="23"/>
      <c r="M35" s="24"/>
      <c r="N35" s="23"/>
      <c r="O35" s="24"/>
      <c r="P35" s="23"/>
      <c r="Q35" s="24"/>
      <c r="R35" s="23"/>
      <c r="S35" s="24"/>
      <c r="T35" s="23"/>
      <c r="U35" s="24"/>
      <c r="V35" s="23"/>
      <c r="W35" s="24"/>
      <c r="X35" s="23"/>
      <c r="Y35" s="24"/>
      <c r="Z35" s="23"/>
      <c r="AA35" s="24"/>
      <c r="AB35" s="23"/>
      <c r="AC35" s="24"/>
      <c r="AD35" s="25"/>
      <c r="AE35" s="23">
        <f t="shared" si="9"/>
        <v>0</v>
      </c>
      <c r="AF35" s="24">
        <f t="shared" si="9"/>
        <v>0</v>
      </c>
      <c r="AG35" s="23">
        <f t="shared" si="10"/>
        <v>0</v>
      </c>
      <c r="AH35" s="23"/>
      <c r="AI35" s="24"/>
      <c r="AJ35" s="23"/>
      <c r="AK35" s="24"/>
      <c r="AL35" s="23"/>
      <c r="AM35" s="28"/>
      <c r="AN35" s="29"/>
    </row>
    <row r="36" spans="1:40" ht="18" customHeight="1">
      <c r="A36" s="32" t="s">
        <v>54</v>
      </c>
      <c r="B36" s="33" t="s">
        <v>35</v>
      </c>
      <c r="C36" s="34" t="s">
        <v>44</v>
      </c>
      <c r="D36" s="74"/>
      <c r="E36" s="73"/>
      <c r="F36" s="74"/>
      <c r="G36" s="73"/>
      <c r="H36" s="74"/>
      <c r="I36" s="73"/>
      <c r="J36" s="74"/>
      <c r="K36" s="73"/>
      <c r="L36" s="74"/>
      <c r="M36" s="73"/>
      <c r="N36" s="103"/>
      <c r="O36" s="73"/>
      <c r="P36" s="74"/>
      <c r="Q36" s="73"/>
      <c r="R36" s="74"/>
      <c r="S36" s="73"/>
      <c r="T36" s="74"/>
      <c r="U36" s="73"/>
      <c r="V36" s="74"/>
      <c r="W36" s="73"/>
      <c r="X36" s="74"/>
      <c r="Y36" s="73"/>
      <c r="Z36" s="74"/>
      <c r="AA36" s="73"/>
      <c r="AB36" s="74"/>
      <c r="AC36" s="73"/>
      <c r="AD36" s="66"/>
      <c r="AE36" s="74">
        <f>D36+F36+H36+J36+L36+N36+P36+R36+T36+V36+X36+Z36+AB36</f>
        <v>0</v>
      </c>
      <c r="AF36" s="73"/>
      <c r="AG36" s="35"/>
      <c r="AH36" s="35">
        <f>AH28+AE36-(H55)</f>
        <v>0</v>
      </c>
      <c r="AI36" s="37">
        <f>AH36-(AH30-AI30)*2</f>
        <v>0</v>
      </c>
      <c r="AJ36" s="38">
        <f>IF($AJ$2&gt;0,AH36/$AJ$2,0)</f>
        <v>0</v>
      </c>
      <c r="AK36" s="39">
        <f>IF($AJ$2&gt;0,AI36/$AJ$2,0)</f>
        <v>0</v>
      </c>
      <c r="AL36" s="35"/>
      <c r="AM36" s="40">
        <f>$AJ$2-AH36</f>
        <v>0</v>
      </c>
      <c r="AN36" s="41"/>
    </row>
    <row r="37" spans="1:40" ht="18" customHeight="1">
      <c r="A37" s="87"/>
      <c r="B37" s="88"/>
      <c r="C37" s="42" t="s">
        <v>20</v>
      </c>
      <c r="D37" s="43">
        <f t="shared" ref="D37:AC37" si="11">D30+D31+D32+D33+D34+D35</f>
        <v>0</v>
      </c>
      <c r="E37" s="44">
        <f t="shared" si="11"/>
        <v>0</v>
      </c>
      <c r="F37" s="43">
        <f t="shared" si="11"/>
        <v>0</v>
      </c>
      <c r="G37" s="44">
        <f t="shared" si="11"/>
        <v>0</v>
      </c>
      <c r="H37" s="43">
        <f t="shared" si="11"/>
        <v>0</v>
      </c>
      <c r="I37" s="44">
        <f t="shared" si="11"/>
        <v>0</v>
      </c>
      <c r="J37" s="43">
        <f t="shared" si="11"/>
        <v>0</v>
      </c>
      <c r="K37" s="44">
        <f t="shared" si="11"/>
        <v>0</v>
      </c>
      <c r="L37" s="43">
        <f t="shared" si="11"/>
        <v>0</v>
      </c>
      <c r="M37" s="44">
        <f t="shared" si="11"/>
        <v>0</v>
      </c>
      <c r="N37" s="43">
        <f t="shared" si="11"/>
        <v>0</v>
      </c>
      <c r="O37" s="44">
        <f t="shared" si="11"/>
        <v>0</v>
      </c>
      <c r="P37" s="43">
        <f t="shared" si="11"/>
        <v>0</v>
      </c>
      <c r="Q37" s="44">
        <f t="shared" si="11"/>
        <v>0</v>
      </c>
      <c r="R37" s="43">
        <f t="shared" si="11"/>
        <v>0</v>
      </c>
      <c r="S37" s="44">
        <f t="shared" si="11"/>
        <v>0</v>
      </c>
      <c r="T37" s="43">
        <f t="shared" si="11"/>
        <v>0</v>
      </c>
      <c r="U37" s="44">
        <f t="shared" si="11"/>
        <v>0</v>
      </c>
      <c r="V37" s="43">
        <f t="shared" si="11"/>
        <v>0</v>
      </c>
      <c r="W37" s="44">
        <f t="shared" si="11"/>
        <v>0</v>
      </c>
      <c r="X37" s="43">
        <f t="shared" si="11"/>
        <v>0</v>
      </c>
      <c r="Y37" s="44">
        <f t="shared" si="11"/>
        <v>0</v>
      </c>
      <c r="Z37" s="43">
        <f t="shared" si="11"/>
        <v>0</v>
      </c>
      <c r="AA37" s="44">
        <f t="shared" si="11"/>
        <v>0</v>
      </c>
      <c r="AB37" s="43">
        <f t="shared" si="11"/>
        <v>0</v>
      </c>
      <c r="AC37" s="44">
        <f t="shared" si="11"/>
        <v>0</v>
      </c>
      <c r="AD37" s="45"/>
      <c r="AE37" s="43">
        <f>AE30+AE31+AE32+AE33+AE34+AE35</f>
        <v>0</v>
      </c>
      <c r="AF37" s="44">
        <f>AF30+AF31+AF32+AF33+AF34+AF35</f>
        <v>0</v>
      </c>
      <c r="AG37" s="43">
        <f>AG30+AG31+AG32+AG33+AG34+AG35</f>
        <v>0</v>
      </c>
      <c r="AH37" s="43"/>
      <c r="AI37" s="44"/>
      <c r="AJ37" s="43"/>
      <c r="AK37" s="44"/>
      <c r="AL37" s="43">
        <f>$AG$2-AH30</f>
        <v>0</v>
      </c>
      <c r="AM37" s="46"/>
      <c r="AN37" s="47"/>
    </row>
    <row r="38" spans="1:40" ht="18" customHeight="1">
      <c r="A38" s="76" t="s">
        <v>9</v>
      </c>
      <c r="B38" s="77"/>
      <c r="C38" s="22" t="s">
        <v>46</v>
      </c>
      <c r="D38" s="23"/>
      <c r="E38" s="24"/>
      <c r="F38" s="23"/>
      <c r="G38" s="24"/>
      <c r="H38" s="23"/>
      <c r="I38" s="24"/>
      <c r="J38" s="23"/>
      <c r="K38" s="24"/>
      <c r="L38" s="23"/>
      <c r="M38" s="24"/>
      <c r="N38" s="23"/>
      <c r="O38" s="24"/>
      <c r="P38" s="23"/>
      <c r="Q38" s="24"/>
      <c r="R38" s="23"/>
      <c r="S38" s="24"/>
      <c r="T38" s="23"/>
      <c r="U38" s="24"/>
      <c r="V38" s="23"/>
      <c r="W38" s="24"/>
      <c r="X38" s="23"/>
      <c r="Y38" s="24"/>
      <c r="Z38" s="23"/>
      <c r="AA38" s="24"/>
      <c r="AB38" s="23"/>
      <c r="AC38" s="24"/>
      <c r="AD38" s="25"/>
      <c r="AE38" s="23">
        <f t="shared" ref="AE38:AF43" si="12">D38+F38+H38+J38+L38+N38+P38+R38+T38+V38+X38+Z38+AB38</f>
        <v>0</v>
      </c>
      <c r="AF38" s="24">
        <f t="shared" si="12"/>
        <v>0</v>
      </c>
      <c r="AG38" s="23">
        <f t="shared" ref="AG38:AG43" si="13">AE38+AF38*2</f>
        <v>0</v>
      </c>
      <c r="AH38" s="23">
        <f>AH30+AG38+AG39+AG40+AG41+AG42+AG43-(J54)</f>
        <v>0</v>
      </c>
      <c r="AI38" s="24">
        <f>AI30+AG38+AG39+AG40+AG41+AG42-((J54)-(J51+K51*2))</f>
        <v>0</v>
      </c>
      <c r="AJ38" s="26">
        <f>IF($AG$2&gt;0,AH38/$AG$2,0)</f>
        <v>0</v>
      </c>
      <c r="AK38" s="27">
        <f>IF($AG$2&gt;0,AI38/$AG$2,0)</f>
        <v>0</v>
      </c>
      <c r="AL38" s="23"/>
      <c r="AM38" s="28"/>
      <c r="AN38" s="29"/>
    </row>
    <row r="39" spans="1:40" ht="18" customHeight="1">
      <c r="A39" s="78"/>
      <c r="B39" s="77"/>
      <c r="C39" s="22" t="s">
        <v>47</v>
      </c>
      <c r="D39" s="23"/>
      <c r="E39" s="24"/>
      <c r="F39" s="23"/>
      <c r="G39" s="24"/>
      <c r="H39" s="23"/>
      <c r="I39" s="24"/>
      <c r="J39" s="23"/>
      <c r="K39" s="24"/>
      <c r="L39" s="23"/>
      <c r="M39" s="24"/>
      <c r="N39" s="23"/>
      <c r="O39" s="24"/>
      <c r="P39" s="23"/>
      <c r="Q39" s="24"/>
      <c r="R39" s="23"/>
      <c r="S39" s="24"/>
      <c r="T39" s="23"/>
      <c r="U39" s="24"/>
      <c r="V39" s="23"/>
      <c r="W39" s="24"/>
      <c r="X39" s="23"/>
      <c r="Y39" s="24"/>
      <c r="Z39" s="23"/>
      <c r="AA39" s="24"/>
      <c r="AB39" s="23"/>
      <c r="AC39" s="24"/>
      <c r="AD39" s="25"/>
      <c r="AE39" s="23">
        <f t="shared" si="12"/>
        <v>0</v>
      </c>
      <c r="AF39" s="24">
        <f t="shared" si="12"/>
        <v>0</v>
      </c>
      <c r="AG39" s="23">
        <f t="shared" si="13"/>
        <v>0</v>
      </c>
      <c r="AH39" s="23"/>
      <c r="AI39" s="24"/>
      <c r="AJ39" s="23"/>
      <c r="AK39" s="24"/>
      <c r="AL39" s="23"/>
      <c r="AM39" s="28"/>
      <c r="AN39" s="29"/>
    </row>
    <row r="40" spans="1:40" ht="18" customHeight="1">
      <c r="A40" s="78"/>
      <c r="B40" s="77"/>
      <c r="C40" s="22" t="s">
        <v>48</v>
      </c>
      <c r="D40" s="23"/>
      <c r="E40" s="24"/>
      <c r="F40" s="23"/>
      <c r="G40" s="24"/>
      <c r="H40" s="23"/>
      <c r="I40" s="24"/>
      <c r="J40" s="23"/>
      <c r="K40" s="24"/>
      <c r="L40" s="23"/>
      <c r="M40" s="24"/>
      <c r="N40" s="23"/>
      <c r="O40" s="24"/>
      <c r="P40" s="23"/>
      <c r="Q40" s="24"/>
      <c r="R40" s="23"/>
      <c r="S40" s="24"/>
      <c r="T40" s="23"/>
      <c r="U40" s="24"/>
      <c r="V40" s="23"/>
      <c r="W40" s="24"/>
      <c r="X40" s="23"/>
      <c r="Y40" s="24"/>
      <c r="Z40" s="23"/>
      <c r="AA40" s="24"/>
      <c r="AB40" s="23"/>
      <c r="AC40" s="24"/>
      <c r="AD40" s="25"/>
      <c r="AE40" s="23">
        <f t="shared" si="12"/>
        <v>0</v>
      </c>
      <c r="AF40" s="24">
        <f t="shared" si="12"/>
        <v>0</v>
      </c>
      <c r="AG40" s="23">
        <f t="shared" si="13"/>
        <v>0</v>
      </c>
      <c r="AH40" s="23"/>
      <c r="AI40" s="24"/>
      <c r="AJ40" s="23"/>
      <c r="AK40" s="24"/>
      <c r="AL40" s="23"/>
      <c r="AM40" s="28"/>
      <c r="AN40" s="29"/>
    </row>
    <row r="41" spans="1:40" ht="18" customHeight="1">
      <c r="A41" s="78"/>
      <c r="B41" s="77"/>
      <c r="C41" s="22" t="s">
        <v>49</v>
      </c>
      <c r="D41" s="23"/>
      <c r="E41" s="24"/>
      <c r="F41" s="23"/>
      <c r="G41" s="24"/>
      <c r="H41" s="23"/>
      <c r="I41" s="24"/>
      <c r="J41" s="23"/>
      <c r="K41" s="24"/>
      <c r="L41" s="23"/>
      <c r="M41" s="24"/>
      <c r="N41" s="23"/>
      <c r="O41" s="24"/>
      <c r="P41" s="23"/>
      <c r="Q41" s="24"/>
      <c r="R41" s="23"/>
      <c r="S41" s="24"/>
      <c r="T41" s="23"/>
      <c r="U41" s="24"/>
      <c r="V41" s="23"/>
      <c r="W41" s="24"/>
      <c r="X41" s="23"/>
      <c r="Y41" s="24"/>
      <c r="Z41" s="23"/>
      <c r="AA41" s="24"/>
      <c r="AB41" s="23"/>
      <c r="AC41" s="24"/>
      <c r="AD41" s="25"/>
      <c r="AE41" s="23">
        <f t="shared" si="12"/>
        <v>0</v>
      </c>
      <c r="AF41" s="24">
        <f t="shared" si="12"/>
        <v>0</v>
      </c>
      <c r="AG41" s="23">
        <f t="shared" si="13"/>
        <v>0</v>
      </c>
      <c r="AH41" s="23"/>
      <c r="AI41" s="24"/>
      <c r="AJ41" s="23"/>
      <c r="AK41" s="24"/>
      <c r="AL41" s="23"/>
      <c r="AM41" s="28"/>
      <c r="AN41" s="29"/>
    </row>
    <row r="42" spans="1:40" ht="18" customHeight="1">
      <c r="A42" s="78"/>
      <c r="B42" s="77"/>
      <c r="C42" s="22" t="s">
        <v>50</v>
      </c>
      <c r="D42" s="23"/>
      <c r="E42" s="24"/>
      <c r="F42" s="23"/>
      <c r="G42" s="24"/>
      <c r="H42" s="23"/>
      <c r="I42" s="24"/>
      <c r="J42" s="23"/>
      <c r="K42" s="24"/>
      <c r="L42" s="23"/>
      <c r="M42" s="24"/>
      <c r="N42" s="23"/>
      <c r="O42" s="24"/>
      <c r="P42" s="23"/>
      <c r="Q42" s="24"/>
      <c r="R42" s="23"/>
      <c r="S42" s="24"/>
      <c r="T42" s="23"/>
      <c r="U42" s="24"/>
      <c r="V42" s="23"/>
      <c r="W42" s="24"/>
      <c r="X42" s="23"/>
      <c r="Y42" s="24"/>
      <c r="Z42" s="23"/>
      <c r="AA42" s="24"/>
      <c r="AB42" s="23"/>
      <c r="AC42" s="24"/>
      <c r="AD42" s="25"/>
      <c r="AE42" s="23">
        <f t="shared" si="12"/>
        <v>0</v>
      </c>
      <c r="AF42" s="24">
        <f t="shared" si="12"/>
        <v>0</v>
      </c>
      <c r="AG42" s="23">
        <f t="shared" si="13"/>
        <v>0</v>
      </c>
      <c r="AH42" s="23"/>
      <c r="AI42" s="24"/>
      <c r="AJ42" s="23"/>
      <c r="AK42" s="24"/>
      <c r="AL42" s="23"/>
      <c r="AM42" s="28"/>
      <c r="AN42" s="29">
        <f>AN34-(AE42+AF42)+(J50+K50)</f>
        <v>0</v>
      </c>
    </row>
    <row r="43" spans="1:40" ht="18" customHeight="1">
      <c r="A43" s="20" t="s">
        <v>52</v>
      </c>
      <c r="B43" s="31" t="s">
        <v>73</v>
      </c>
      <c r="C43" s="22" t="s">
        <v>51</v>
      </c>
      <c r="D43" s="23"/>
      <c r="E43" s="24"/>
      <c r="F43" s="23"/>
      <c r="G43" s="24"/>
      <c r="H43" s="23"/>
      <c r="I43" s="24"/>
      <c r="J43" s="23"/>
      <c r="K43" s="24"/>
      <c r="L43" s="23"/>
      <c r="M43" s="24"/>
      <c r="N43" s="23"/>
      <c r="O43" s="24"/>
      <c r="P43" s="23"/>
      <c r="Q43" s="24"/>
      <c r="R43" s="23"/>
      <c r="S43" s="24"/>
      <c r="T43" s="23"/>
      <c r="U43" s="24"/>
      <c r="V43" s="23"/>
      <c r="W43" s="24"/>
      <c r="X43" s="23"/>
      <c r="Y43" s="24"/>
      <c r="Z43" s="23"/>
      <c r="AA43" s="24"/>
      <c r="AB43" s="23"/>
      <c r="AC43" s="24"/>
      <c r="AD43" s="25"/>
      <c r="AE43" s="23">
        <f t="shared" si="12"/>
        <v>0</v>
      </c>
      <c r="AF43" s="24">
        <f t="shared" si="12"/>
        <v>0</v>
      </c>
      <c r="AG43" s="23">
        <f t="shared" si="13"/>
        <v>0</v>
      </c>
      <c r="AH43" s="23"/>
      <c r="AI43" s="24"/>
      <c r="AJ43" s="23"/>
      <c r="AK43" s="24"/>
      <c r="AL43" s="23"/>
      <c r="AM43" s="28"/>
      <c r="AN43" s="29"/>
    </row>
    <row r="44" spans="1:40" ht="18" customHeight="1">
      <c r="A44" s="32" t="s">
        <v>54</v>
      </c>
      <c r="B44" s="33" t="s">
        <v>36</v>
      </c>
      <c r="C44" s="34" t="s">
        <v>44</v>
      </c>
      <c r="D44" s="74"/>
      <c r="E44" s="73"/>
      <c r="F44" s="74"/>
      <c r="G44" s="73"/>
      <c r="H44" s="74"/>
      <c r="I44" s="73"/>
      <c r="J44" s="74"/>
      <c r="K44" s="73"/>
      <c r="L44" s="74"/>
      <c r="M44" s="73"/>
      <c r="N44" s="103"/>
      <c r="O44" s="73"/>
      <c r="P44" s="74"/>
      <c r="Q44" s="73"/>
      <c r="R44" s="74"/>
      <c r="S44" s="73"/>
      <c r="T44" s="74"/>
      <c r="U44" s="73"/>
      <c r="V44" s="74"/>
      <c r="W44" s="73"/>
      <c r="X44" s="74"/>
      <c r="Y44" s="73"/>
      <c r="Z44" s="74"/>
      <c r="AA44" s="73"/>
      <c r="AB44" s="74"/>
      <c r="AC44" s="73"/>
      <c r="AD44" s="66"/>
      <c r="AE44" s="74">
        <f>D44+F44+H44+J44+L44+N44+P44+R44+T44+V44+X44+Z44+AB44</f>
        <v>0</v>
      </c>
      <c r="AF44" s="73"/>
      <c r="AG44" s="35"/>
      <c r="AH44" s="35">
        <f>AH36+AE44-(J55)</f>
        <v>0</v>
      </c>
      <c r="AI44" s="37">
        <f>AH44-(AH38-AI38)*2</f>
        <v>0</v>
      </c>
      <c r="AJ44" s="38">
        <f>IF($AJ$2&gt;0,AH44/$AJ$2,0)</f>
        <v>0</v>
      </c>
      <c r="AK44" s="39">
        <f>IF($AJ$2&gt;0,AI44/$AJ$2,0)</f>
        <v>0</v>
      </c>
      <c r="AL44" s="35"/>
      <c r="AM44" s="40">
        <f>$AJ$2-AH44</f>
        <v>0</v>
      </c>
      <c r="AN44" s="41"/>
    </row>
    <row r="45" spans="1:40" ht="18" customHeight="1">
      <c r="A45" s="87"/>
      <c r="B45" s="88"/>
      <c r="C45" s="42" t="s">
        <v>20</v>
      </c>
      <c r="D45" s="43">
        <f t="shared" ref="D45:AC45" si="14">D38+D39+D40+D41+D42+D43</f>
        <v>0</v>
      </c>
      <c r="E45" s="44">
        <f t="shared" si="14"/>
        <v>0</v>
      </c>
      <c r="F45" s="43">
        <f t="shared" si="14"/>
        <v>0</v>
      </c>
      <c r="G45" s="44">
        <f t="shared" si="14"/>
        <v>0</v>
      </c>
      <c r="H45" s="43">
        <f t="shared" si="14"/>
        <v>0</v>
      </c>
      <c r="I45" s="44">
        <f t="shared" si="14"/>
        <v>0</v>
      </c>
      <c r="J45" s="43">
        <f t="shared" si="14"/>
        <v>0</v>
      </c>
      <c r="K45" s="44">
        <f t="shared" si="14"/>
        <v>0</v>
      </c>
      <c r="L45" s="43">
        <f t="shared" si="14"/>
        <v>0</v>
      </c>
      <c r="M45" s="44">
        <f t="shared" si="14"/>
        <v>0</v>
      </c>
      <c r="N45" s="43">
        <f t="shared" si="14"/>
        <v>0</v>
      </c>
      <c r="O45" s="44">
        <f t="shared" si="14"/>
        <v>0</v>
      </c>
      <c r="P45" s="43">
        <f t="shared" si="14"/>
        <v>0</v>
      </c>
      <c r="Q45" s="44">
        <f t="shared" si="14"/>
        <v>0</v>
      </c>
      <c r="R45" s="43">
        <f t="shared" si="14"/>
        <v>0</v>
      </c>
      <c r="S45" s="44">
        <f t="shared" si="14"/>
        <v>0</v>
      </c>
      <c r="T45" s="43">
        <f t="shared" si="14"/>
        <v>0</v>
      </c>
      <c r="U45" s="44">
        <f t="shared" si="14"/>
        <v>0</v>
      </c>
      <c r="V45" s="43">
        <f t="shared" si="14"/>
        <v>0</v>
      </c>
      <c r="W45" s="44">
        <f t="shared" si="14"/>
        <v>0</v>
      </c>
      <c r="X45" s="43">
        <f t="shared" si="14"/>
        <v>0</v>
      </c>
      <c r="Y45" s="44">
        <f t="shared" si="14"/>
        <v>0</v>
      </c>
      <c r="Z45" s="43">
        <f t="shared" si="14"/>
        <v>0</v>
      </c>
      <c r="AA45" s="44">
        <f t="shared" si="14"/>
        <v>0</v>
      </c>
      <c r="AB45" s="43">
        <f t="shared" si="14"/>
        <v>0</v>
      </c>
      <c r="AC45" s="44">
        <f t="shared" si="14"/>
        <v>0</v>
      </c>
      <c r="AD45" s="45"/>
      <c r="AE45" s="43">
        <f>AE38+AE39+AE40+AE41+AE42+AE43</f>
        <v>0</v>
      </c>
      <c r="AF45" s="44">
        <f>AF38+AF39+AF40+AF41+AF42+AF43</f>
        <v>0</v>
      </c>
      <c r="AG45" s="43">
        <f>AG38+AG39+AG40+AG41+AG42+AG43</f>
        <v>0</v>
      </c>
      <c r="AH45" s="43"/>
      <c r="AI45" s="44"/>
      <c r="AJ45" s="43"/>
      <c r="AK45" s="44"/>
      <c r="AL45" s="43">
        <f>$AG$2-AH38</f>
        <v>0</v>
      </c>
      <c r="AM45" s="46"/>
      <c r="AN45" s="47"/>
    </row>
    <row r="46" spans="1:40" ht="18" customHeight="1">
      <c r="A46" s="20" t="s">
        <v>19</v>
      </c>
      <c r="B46" s="21"/>
      <c r="C46" s="22" t="s">
        <v>46</v>
      </c>
      <c r="D46" s="23">
        <f t="shared" ref="D46:AC46" si="15">D6+D14+D22+D30+D38</f>
        <v>0</v>
      </c>
      <c r="E46" s="24">
        <f t="shared" si="15"/>
        <v>0</v>
      </c>
      <c r="F46" s="23">
        <f t="shared" si="15"/>
        <v>0</v>
      </c>
      <c r="G46" s="24">
        <f t="shared" si="15"/>
        <v>0</v>
      </c>
      <c r="H46" s="23">
        <f t="shared" si="15"/>
        <v>0</v>
      </c>
      <c r="I46" s="24">
        <f t="shared" si="15"/>
        <v>0</v>
      </c>
      <c r="J46" s="23">
        <f t="shared" si="15"/>
        <v>0</v>
      </c>
      <c r="K46" s="24">
        <f t="shared" si="15"/>
        <v>0</v>
      </c>
      <c r="L46" s="23">
        <f t="shared" si="15"/>
        <v>0</v>
      </c>
      <c r="M46" s="24">
        <f t="shared" si="15"/>
        <v>0</v>
      </c>
      <c r="N46" s="23">
        <f t="shared" si="15"/>
        <v>0</v>
      </c>
      <c r="O46" s="24">
        <f t="shared" si="15"/>
        <v>0</v>
      </c>
      <c r="P46" s="23">
        <f t="shared" si="15"/>
        <v>0</v>
      </c>
      <c r="Q46" s="24">
        <f t="shared" si="15"/>
        <v>0</v>
      </c>
      <c r="R46" s="23">
        <f t="shared" si="15"/>
        <v>0</v>
      </c>
      <c r="S46" s="24">
        <f t="shared" si="15"/>
        <v>0</v>
      </c>
      <c r="T46" s="23">
        <f t="shared" si="15"/>
        <v>0</v>
      </c>
      <c r="U46" s="24">
        <f t="shared" si="15"/>
        <v>0</v>
      </c>
      <c r="V46" s="23">
        <f t="shared" si="15"/>
        <v>0</v>
      </c>
      <c r="W46" s="24">
        <f t="shared" si="15"/>
        <v>0</v>
      </c>
      <c r="X46" s="23">
        <f t="shared" si="15"/>
        <v>0</v>
      </c>
      <c r="Y46" s="24">
        <f t="shared" si="15"/>
        <v>0</v>
      </c>
      <c r="Z46" s="23">
        <f t="shared" si="15"/>
        <v>0</v>
      </c>
      <c r="AA46" s="24">
        <f t="shared" si="15"/>
        <v>0</v>
      </c>
      <c r="AB46" s="23">
        <f t="shared" si="15"/>
        <v>0</v>
      </c>
      <c r="AC46" s="24">
        <f t="shared" si="15"/>
        <v>0</v>
      </c>
      <c r="AD46" s="25"/>
      <c r="AE46" s="23">
        <f t="shared" ref="AE46:AF51" si="16">D46+F46+H46+J46+L46+N46+P46+R46+T46+V46+X46+Z46+AB46</f>
        <v>0</v>
      </c>
      <c r="AF46" s="24">
        <f t="shared" si="16"/>
        <v>0</v>
      </c>
      <c r="AG46" s="23">
        <f t="shared" ref="AG46:AG51" si="17">AE46+AF46*2</f>
        <v>0</v>
      </c>
      <c r="AH46" s="23"/>
      <c r="AI46" s="24"/>
      <c r="AJ46" s="23"/>
      <c r="AK46" s="24"/>
      <c r="AL46" s="23"/>
      <c r="AM46" s="28"/>
      <c r="AN46" s="29"/>
    </row>
    <row r="47" spans="1:40" ht="18" customHeight="1">
      <c r="A47" s="30"/>
      <c r="B47" s="21"/>
      <c r="C47" s="22" t="s">
        <v>47</v>
      </c>
      <c r="D47" s="23">
        <f t="shared" ref="D47:AC47" si="18">D7+D15+D23+D31+D39</f>
        <v>0</v>
      </c>
      <c r="E47" s="24">
        <f t="shared" si="18"/>
        <v>0</v>
      </c>
      <c r="F47" s="23">
        <f t="shared" si="18"/>
        <v>0</v>
      </c>
      <c r="G47" s="24">
        <f t="shared" si="18"/>
        <v>0</v>
      </c>
      <c r="H47" s="23">
        <f t="shared" si="18"/>
        <v>0</v>
      </c>
      <c r="I47" s="24">
        <f t="shared" si="18"/>
        <v>0</v>
      </c>
      <c r="J47" s="23">
        <f t="shared" si="18"/>
        <v>0</v>
      </c>
      <c r="K47" s="24">
        <f t="shared" si="18"/>
        <v>0</v>
      </c>
      <c r="L47" s="23">
        <f t="shared" si="18"/>
        <v>0</v>
      </c>
      <c r="M47" s="24">
        <f t="shared" si="18"/>
        <v>0</v>
      </c>
      <c r="N47" s="23">
        <f t="shared" si="18"/>
        <v>0</v>
      </c>
      <c r="O47" s="24">
        <f t="shared" si="18"/>
        <v>0</v>
      </c>
      <c r="P47" s="23">
        <f t="shared" si="18"/>
        <v>0</v>
      </c>
      <c r="Q47" s="24">
        <f t="shared" si="18"/>
        <v>0</v>
      </c>
      <c r="R47" s="23">
        <f t="shared" si="18"/>
        <v>0</v>
      </c>
      <c r="S47" s="24">
        <f t="shared" si="18"/>
        <v>0</v>
      </c>
      <c r="T47" s="23">
        <f t="shared" si="18"/>
        <v>0</v>
      </c>
      <c r="U47" s="24">
        <f t="shared" si="18"/>
        <v>0</v>
      </c>
      <c r="V47" s="23">
        <f t="shared" si="18"/>
        <v>0</v>
      </c>
      <c r="W47" s="24">
        <f t="shared" si="18"/>
        <v>0</v>
      </c>
      <c r="X47" s="23">
        <f t="shared" si="18"/>
        <v>0</v>
      </c>
      <c r="Y47" s="24">
        <f t="shared" si="18"/>
        <v>0</v>
      </c>
      <c r="Z47" s="23">
        <f t="shared" si="18"/>
        <v>0</v>
      </c>
      <c r="AA47" s="24">
        <f t="shared" si="18"/>
        <v>0</v>
      </c>
      <c r="AB47" s="23">
        <f t="shared" si="18"/>
        <v>0</v>
      </c>
      <c r="AC47" s="24">
        <f t="shared" si="18"/>
        <v>0</v>
      </c>
      <c r="AD47" s="25"/>
      <c r="AE47" s="23">
        <f t="shared" si="16"/>
        <v>0</v>
      </c>
      <c r="AF47" s="24">
        <f t="shared" si="16"/>
        <v>0</v>
      </c>
      <c r="AG47" s="23">
        <f t="shared" si="17"/>
        <v>0</v>
      </c>
      <c r="AH47" s="23"/>
      <c r="AI47" s="24"/>
      <c r="AJ47" s="23"/>
      <c r="AK47" s="24"/>
      <c r="AL47" s="23"/>
      <c r="AM47" s="28"/>
      <c r="AN47" s="29"/>
    </row>
    <row r="48" spans="1:40" ht="18" customHeight="1">
      <c r="A48" s="30"/>
      <c r="B48" s="21"/>
      <c r="C48" s="22" t="s">
        <v>48</v>
      </c>
      <c r="D48" s="23">
        <f t="shared" ref="D48:AC48" si="19">D8+D16+D24+D32+D40</f>
        <v>0</v>
      </c>
      <c r="E48" s="24">
        <f t="shared" si="19"/>
        <v>0</v>
      </c>
      <c r="F48" s="23">
        <f t="shared" si="19"/>
        <v>0</v>
      </c>
      <c r="G48" s="24">
        <f t="shared" si="19"/>
        <v>0</v>
      </c>
      <c r="H48" s="23">
        <f t="shared" si="19"/>
        <v>0</v>
      </c>
      <c r="I48" s="24">
        <f t="shared" si="19"/>
        <v>0</v>
      </c>
      <c r="J48" s="23">
        <f t="shared" si="19"/>
        <v>0</v>
      </c>
      <c r="K48" s="24">
        <f t="shared" si="19"/>
        <v>0</v>
      </c>
      <c r="L48" s="23">
        <f t="shared" si="19"/>
        <v>0</v>
      </c>
      <c r="M48" s="24">
        <f t="shared" si="19"/>
        <v>0</v>
      </c>
      <c r="N48" s="23">
        <f t="shared" si="19"/>
        <v>0</v>
      </c>
      <c r="O48" s="24">
        <f t="shared" si="19"/>
        <v>0</v>
      </c>
      <c r="P48" s="23">
        <f t="shared" si="19"/>
        <v>0</v>
      </c>
      <c r="Q48" s="24">
        <f t="shared" si="19"/>
        <v>0</v>
      </c>
      <c r="R48" s="23">
        <f t="shared" si="19"/>
        <v>0</v>
      </c>
      <c r="S48" s="24">
        <f t="shared" si="19"/>
        <v>0</v>
      </c>
      <c r="T48" s="23">
        <f t="shared" si="19"/>
        <v>0</v>
      </c>
      <c r="U48" s="24">
        <f t="shared" si="19"/>
        <v>0</v>
      </c>
      <c r="V48" s="23">
        <f t="shared" si="19"/>
        <v>0</v>
      </c>
      <c r="W48" s="24">
        <f t="shared" si="19"/>
        <v>0</v>
      </c>
      <c r="X48" s="23">
        <f t="shared" si="19"/>
        <v>0</v>
      </c>
      <c r="Y48" s="24">
        <f t="shared" si="19"/>
        <v>0</v>
      </c>
      <c r="Z48" s="23">
        <f t="shared" si="19"/>
        <v>0</v>
      </c>
      <c r="AA48" s="24">
        <f t="shared" si="19"/>
        <v>0</v>
      </c>
      <c r="AB48" s="23">
        <f t="shared" si="19"/>
        <v>0</v>
      </c>
      <c r="AC48" s="24">
        <f t="shared" si="19"/>
        <v>0</v>
      </c>
      <c r="AD48" s="25"/>
      <c r="AE48" s="23">
        <f t="shared" si="16"/>
        <v>0</v>
      </c>
      <c r="AF48" s="24">
        <f t="shared" si="16"/>
        <v>0</v>
      </c>
      <c r="AG48" s="23">
        <f t="shared" si="17"/>
        <v>0</v>
      </c>
      <c r="AH48" s="23"/>
      <c r="AI48" s="24"/>
      <c r="AJ48" s="23"/>
      <c r="AK48" s="24"/>
      <c r="AL48" s="23"/>
      <c r="AM48" s="28"/>
      <c r="AN48" s="29"/>
    </row>
    <row r="49" spans="1:40" ht="18" customHeight="1">
      <c r="A49" s="30"/>
      <c r="B49" s="21"/>
      <c r="C49" s="22" t="s">
        <v>49</v>
      </c>
      <c r="D49" s="23">
        <f t="shared" ref="D49:AC49" si="20">D9+D17+D25+D33+D41</f>
        <v>0</v>
      </c>
      <c r="E49" s="24">
        <f t="shared" si="20"/>
        <v>0</v>
      </c>
      <c r="F49" s="23">
        <f t="shared" si="20"/>
        <v>0</v>
      </c>
      <c r="G49" s="24">
        <f t="shared" si="20"/>
        <v>0</v>
      </c>
      <c r="H49" s="23">
        <f t="shared" si="20"/>
        <v>0</v>
      </c>
      <c r="I49" s="24">
        <f t="shared" si="20"/>
        <v>0</v>
      </c>
      <c r="J49" s="23">
        <f t="shared" si="20"/>
        <v>0</v>
      </c>
      <c r="K49" s="24">
        <f t="shared" si="20"/>
        <v>0</v>
      </c>
      <c r="L49" s="23">
        <f t="shared" si="20"/>
        <v>0</v>
      </c>
      <c r="M49" s="24">
        <f t="shared" si="20"/>
        <v>0</v>
      </c>
      <c r="N49" s="23">
        <f t="shared" si="20"/>
        <v>0</v>
      </c>
      <c r="O49" s="24">
        <f t="shared" si="20"/>
        <v>0</v>
      </c>
      <c r="P49" s="23">
        <f t="shared" si="20"/>
        <v>0</v>
      </c>
      <c r="Q49" s="24">
        <f t="shared" si="20"/>
        <v>0</v>
      </c>
      <c r="R49" s="23">
        <f t="shared" si="20"/>
        <v>0</v>
      </c>
      <c r="S49" s="24">
        <f t="shared" si="20"/>
        <v>0</v>
      </c>
      <c r="T49" s="23">
        <f t="shared" si="20"/>
        <v>0</v>
      </c>
      <c r="U49" s="24">
        <f t="shared" si="20"/>
        <v>0</v>
      </c>
      <c r="V49" s="23">
        <f t="shared" si="20"/>
        <v>0</v>
      </c>
      <c r="W49" s="24">
        <f t="shared" si="20"/>
        <v>0</v>
      </c>
      <c r="X49" s="23">
        <f t="shared" si="20"/>
        <v>0</v>
      </c>
      <c r="Y49" s="24">
        <f t="shared" si="20"/>
        <v>0</v>
      </c>
      <c r="Z49" s="23">
        <f t="shared" si="20"/>
        <v>0</v>
      </c>
      <c r="AA49" s="24">
        <f t="shared" si="20"/>
        <v>0</v>
      </c>
      <c r="AB49" s="23">
        <f t="shared" si="20"/>
        <v>0</v>
      </c>
      <c r="AC49" s="24">
        <f t="shared" si="20"/>
        <v>0</v>
      </c>
      <c r="AD49" s="25"/>
      <c r="AE49" s="23">
        <f t="shared" si="16"/>
        <v>0</v>
      </c>
      <c r="AF49" s="24">
        <f t="shared" si="16"/>
        <v>0</v>
      </c>
      <c r="AG49" s="23">
        <f t="shared" si="17"/>
        <v>0</v>
      </c>
      <c r="AH49" s="23"/>
      <c r="AI49" s="24"/>
      <c r="AJ49" s="23"/>
      <c r="AK49" s="24"/>
      <c r="AL49" s="23"/>
      <c r="AM49" s="28"/>
      <c r="AN49" s="29"/>
    </row>
    <row r="50" spans="1:40" ht="18" customHeight="1">
      <c r="A50" s="30"/>
      <c r="B50" s="21"/>
      <c r="C50" s="22" t="s">
        <v>50</v>
      </c>
      <c r="D50" s="23">
        <f t="shared" ref="D50:AC50" si="21">D10+D18+D26+D34+D42</f>
        <v>0</v>
      </c>
      <c r="E50" s="24">
        <f t="shared" si="21"/>
        <v>0</v>
      </c>
      <c r="F50" s="23">
        <f t="shared" si="21"/>
        <v>0</v>
      </c>
      <c r="G50" s="24">
        <f t="shared" si="21"/>
        <v>0</v>
      </c>
      <c r="H50" s="23">
        <f t="shared" si="21"/>
        <v>0</v>
      </c>
      <c r="I50" s="24">
        <f t="shared" si="21"/>
        <v>0</v>
      </c>
      <c r="J50" s="23">
        <f t="shared" si="21"/>
        <v>0</v>
      </c>
      <c r="K50" s="24">
        <f t="shared" si="21"/>
        <v>0</v>
      </c>
      <c r="L50" s="23">
        <f t="shared" si="21"/>
        <v>0</v>
      </c>
      <c r="M50" s="24">
        <f t="shared" si="21"/>
        <v>0</v>
      </c>
      <c r="N50" s="23">
        <f t="shared" si="21"/>
        <v>0</v>
      </c>
      <c r="O50" s="24">
        <f t="shared" si="21"/>
        <v>0</v>
      </c>
      <c r="P50" s="23">
        <f t="shared" si="21"/>
        <v>0</v>
      </c>
      <c r="Q50" s="24">
        <f t="shared" si="21"/>
        <v>0</v>
      </c>
      <c r="R50" s="23">
        <f t="shared" si="21"/>
        <v>0</v>
      </c>
      <c r="S50" s="24">
        <f t="shared" si="21"/>
        <v>0</v>
      </c>
      <c r="T50" s="23">
        <f t="shared" si="21"/>
        <v>0</v>
      </c>
      <c r="U50" s="24">
        <f t="shared" si="21"/>
        <v>0</v>
      </c>
      <c r="V50" s="23">
        <f t="shared" si="21"/>
        <v>0</v>
      </c>
      <c r="W50" s="24">
        <f t="shared" si="21"/>
        <v>0</v>
      </c>
      <c r="X50" s="23">
        <f t="shared" si="21"/>
        <v>0</v>
      </c>
      <c r="Y50" s="24">
        <f t="shared" si="21"/>
        <v>0</v>
      </c>
      <c r="Z50" s="23">
        <f t="shared" si="21"/>
        <v>0</v>
      </c>
      <c r="AA50" s="24">
        <f t="shared" si="21"/>
        <v>0</v>
      </c>
      <c r="AB50" s="23">
        <f t="shared" si="21"/>
        <v>0</v>
      </c>
      <c r="AC50" s="24">
        <f t="shared" si="21"/>
        <v>0</v>
      </c>
      <c r="AD50" s="25"/>
      <c r="AE50" s="23">
        <f t="shared" si="16"/>
        <v>0</v>
      </c>
      <c r="AF50" s="24">
        <f t="shared" si="16"/>
        <v>0</v>
      </c>
      <c r="AG50" s="23">
        <f t="shared" si="17"/>
        <v>0</v>
      </c>
      <c r="AH50" s="23"/>
      <c r="AI50" s="24"/>
      <c r="AJ50" s="23"/>
      <c r="AK50" s="24"/>
      <c r="AL50" s="23"/>
      <c r="AM50" s="28"/>
      <c r="AN50" s="29"/>
    </row>
    <row r="51" spans="1:40" ht="18" customHeight="1">
      <c r="A51" s="20"/>
      <c r="B51" s="48"/>
      <c r="C51" s="22" t="s">
        <v>51</v>
      </c>
      <c r="D51" s="23">
        <f t="shared" ref="D51:AC51" si="22">D11+D19+D27+D35+D43</f>
        <v>0</v>
      </c>
      <c r="E51" s="24">
        <f t="shared" si="22"/>
        <v>0</v>
      </c>
      <c r="F51" s="23">
        <f t="shared" si="22"/>
        <v>0</v>
      </c>
      <c r="G51" s="24">
        <f t="shared" si="22"/>
        <v>0</v>
      </c>
      <c r="H51" s="23">
        <f t="shared" si="22"/>
        <v>0</v>
      </c>
      <c r="I51" s="24">
        <f t="shared" si="22"/>
        <v>0</v>
      </c>
      <c r="J51" s="23">
        <f t="shared" si="22"/>
        <v>0</v>
      </c>
      <c r="K51" s="24">
        <f t="shared" si="22"/>
        <v>0</v>
      </c>
      <c r="L51" s="23">
        <f t="shared" si="22"/>
        <v>0</v>
      </c>
      <c r="M51" s="24">
        <f t="shared" si="22"/>
        <v>0</v>
      </c>
      <c r="N51" s="23">
        <f t="shared" si="22"/>
        <v>0</v>
      </c>
      <c r="O51" s="24">
        <f t="shared" si="22"/>
        <v>0</v>
      </c>
      <c r="P51" s="23">
        <f t="shared" si="22"/>
        <v>0</v>
      </c>
      <c r="Q51" s="24">
        <f t="shared" si="22"/>
        <v>0</v>
      </c>
      <c r="R51" s="23">
        <f t="shared" si="22"/>
        <v>0</v>
      </c>
      <c r="S51" s="24">
        <f t="shared" si="22"/>
        <v>0</v>
      </c>
      <c r="T51" s="23">
        <f t="shared" si="22"/>
        <v>0</v>
      </c>
      <c r="U51" s="24">
        <f t="shared" si="22"/>
        <v>0</v>
      </c>
      <c r="V51" s="23">
        <f t="shared" si="22"/>
        <v>0</v>
      </c>
      <c r="W51" s="24">
        <f t="shared" si="22"/>
        <v>0</v>
      </c>
      <c r="X51" s="23">
        <f t="shared" si="22"/>
        <v>0</v>
      </c>
      <c r="Y51" s="24">
        <f t="shared" si="22"/>
        <v>0</v>
      </c>
      <c r="Z51" s="23">
        <f t="shared" si="22"/>
        <v>0</v>
      </c>
      <c r="AA51" s="24">
        <f t="shared" si="22"/>
        <v>0</v>
      </c>
      <c r="AB51" s="23">
        <f t="shared" si="22"/>
        <v>0</v>
      </c>
      <c r="AC51" s="24">
        <f t="shared" si="22"/>
        <v>0</v>
      </c>
      <c r="AD51" s="25"/>
      <c r="AE51" s="23">
        <f t="shared" si="16"/>
        <v>0</v>
      </c>
      <c r="AF51" s="24">
        <f t="shared" si="16"/>
        <v>0</v>
      </c>
      <c r="AG51" s="23">
        <f t="shared" si="17"/>
        <v>0</v>
      </c>
      <c r="AH51" s="23"/>
      <c r="AI51" s="24"/>
      <c r="AJ51" s="23"/>
      <c r="AK51" s="24"/>
      <c r="AL51" s="23"/>
      <c r="AM51" s="28"/>
      <c r="AN51" s="29"/>
    </row>
    <row r="52" spans="1:40" ht="18" customHeight="1">
      <c r="A52" s="32"/>
      <c r="B52" s="49"/>
      <c r="C52" s="34" t="s">
        <v>44</v>
      </c>
      <c r="D52" s="74">
        <f>D12+D20+D28+D36+D44</f>
        <v>0</v>
      </c>
      <c r="E52" s="73"/>
      <c r="F52" s="74">
        <f>F12+F20+F28+F36+F44</f>
        <v>0</v>
      </c>
      <c r="G52" s="73"/>
      <c r="H52" s="74">
        <f>H12+H20+H28+H36+H44</f>
        <v>0</v>
      </c>
      <c r="I52" s="73"/>
      <c r="J52" s="74">
        <f>J12+J20+J28+J36+J44</f>
        <v>0</v>
      </c>
      <c r="K52" s="73"/>
      <c r="L52" s="74">
        <f>L12+L20+L28+L36+L44</f>
        <v>0</v>
      </c>
      <c r="M52" s="73"/>
      <c r="N52" s="104">
        <f>N12+N20+N28+N36+N44</f>
        <v>0</v>
      </c>
      <c r="O52" s="73"/>
      <c r="P52" s="74">
        <f>P12+P20+P28+P36+P44</f>
        <v>0</v>
      </c>
      <c r="Q52" s="73"/>
      <c r="R52" s="74">
        <f>R12+R20+R28+R36+R44</f>
        <v>0</v>
      </c>
      <c r="S52" s="73"/>
      <c r="T52" s="74">
        <f>T12+T20+T28+T36+T44</f>
        <v>0</v>
      </c>
      <c r="U52" s="73"/>
      <c r="V52" s="74">
        <f>V12+V20+V28+V36+V44</f>
        <v>0</v>
      </c>
      <c r="W52" s="73"/>
      <c r="X52" s="74">
        <f>X12+X20+X28+X36+X44</f>
        <v>0</v>
      </c>
      <c r="Y52" s="73"/>
      <c r="Z52" s="74">
        <f>Z12+Z20+Z28+Z36+Z44</f>
        <v>0</v>
      </c>
      <c r="AA52" s="73"/>
      <c r="AB52" s="74">
        <f>AB12+AB20+AB28+AB36+AB44</f>
        <v>0</v>
      </c>
      <c r="AC52" s="73"/>
      <c r="AD52" s="66"/>
      <c r="AE52" s="74">
        <f>D52+F52+H52+J52+L52+N52+P52+R52+T52+V52+X52+Z52+AB52</f>
        <v>0</v>
      </c>
      <c r="AF52" s="73"/>
      <c r="AG52" s="35"/>
      <c r="AH52" s="35"/>
      <c r="AI52" s="37"/>
      <c r="AJ52" s="50"/>
      <c r="AK52" s="51"/>
      <c r="AL52" s="35"/>
      <c r="AM52" s="40"/>
      <c r="AN52" s="41"/>
    </row>
    <row r="53" spans="1:40" ht="18" customHeight="1">
      <c r="A53" s="87"/>
      <c r="B53" s="88"/>
      <c r="C53" s="42" t="s">
        <v>20</v>
      </c>
      <c r="D53" s="52">
        <f t="shared" ref="D53:AC53" si="23">D46+D47+D48+D49+D50+D51</f>
        <v>0</v>
      </c>
      <c r="E53" s="53">
        <f t="shared" si="23"/>
        <v>0</v>
      </c>
      <c r="F53" s="52">
        <f t="shared" si="23"/>
        <v>0</v>
      </c>
      <c r="G53" s="53">
        <f t="shared" si="23"/>
        <v>0</v>
      </c>
      <c r="H53" s="52">
        <f t="shared" si="23"/>
        <v>0</v>
      </c>
      <c r="I53" s="53">
        <f t="shared" si="23"/>
        <v>0</v>
      </c>
      <c r="J53" s="52">
        <f t="shared" si="23"/>
        <v>0</v>
      </c>
      <c r="K53" s="53">
        <f t="shared" si="23"/>
        <v>0</v>
      </c>
      <c r="L53" s="52">
        <f t="shared" si="23"/>
        <v>0</v>
      </c>
      <c r="M53" s="53">
        <f t="shared" si="23"/>
        <v>0</v>
      </c>
      <c r="N53" s="52">
        <f t="shared" si="23"/>
        <v>0</v>
      </c>
      <c r="O53" s="53">
        <f t="shared" si="23"/>
        <v>0</v>
      </c>
      <c r="P53" s="52">
        <f t="shared" si="23"/>
        <v>0</v>
      </c>
      <c r="Q53" s="53">
        <f t="shared" si="23"/>
        <v>0</v>
      </c>
      <c r="R53" s="52">
        <f t="shared" si="23"/>
        <v>0</v>
      </c>
      <c r="S53" s="53">
        <f t="shared" si="23"/>
        <v>0</v>
      </c>
      <c r="T53" s="52">
        <f t="shared" si="23"/>
        <v>0</v>
      </c>
      <c r="U53" s="53">
        <f t="shared" si="23"/>
        <v>0</v>
      </c>
      <c r="V53" s="52">
        <f t="shared" si="23"/>
        <v>0</v>
      </c>
      <c r="W53" s="53">
        <f t="shared" si="23"/>
        <v>0</v>
      </c>
      <c r="X53" s="52">
        <f t="shared" si="23"/>
        <v>0</v>
      </c>
      <c r="Y53" s="53">
        <f t="shared" si="23"/>
        <v>0</v>
      </c>
      <c r="Z53" s="52">
        <f t="shared" si="23"/>
        <v>0</v>
      </c>
      <c r="AA53" s="53">
        <f t="shared" si="23"/>
        <v>0</v>
      </c>
      <c r="AB53" s="52">
        <f t="shared" si="23"/>
        <v>0</v>
      </c>
      <c r="AC53" s="53">
        <f t="shared" si="23"/>
        <v>0</v>
      </c>
      <c r="AD53" s="54"/>
      <c r="AE53" s="52">
        <f>D53+F53+H53+J53+L53+N53+P53+R53+T53+V53+X53+Z53+AB53</f>
        <v>0</v>
      </c>
      <c r="AF53" s="53">
        <f>E53+G53+I53+K53+M53+O53+Q53+S53+U53+W53+Y53+AA53+AC53</f>
        <v>0</v>
      </c>
      <c r="AG53" s="52">
        <f>AE53+AF53*2</f>
        <v>0</v>
      </c>
      <c r="AH53" s="52"/>
      <c r="AI53" s="53"/>
      <c r="AJ53" s="52"/>
      <c r="AK53" s="53"/>
      <c r="AL53" s="52"/>
      <c r="AM53" s="55"/>
      <c r="AN53" s="56"/>
    </row>
    <row r="54" spans="1:40" ht="18" customHeight="1">
      <c r="A54" s="97" t="s">
        <v>40</v>
      </c>
      <c r="B54" s="98"/>
      <c r="C54" s="99"/>
      <c r="D54" s="72">
        <f>D46+E46*2+D47+E47*2+D48+E48*2+D49+E49*2+D50+E50*2+D51+E51*2</f>
        <v>0</v>
      </c>
      <c r="E54" s="73"/>
      <c r="F54" s="72">
        <f>F46+G46*2+F47+G47*2+F48+G48*2+F49+G49*2+F50+G50*2+F51+G51*2</f>
        <v>0</v>
      </c>
      <c r="G54" s="73"/>
      <c r="H54" s="72">
        <f>H46+I46*2+H47+I47*2+H48+I48*2+H49+I49*2+H50+I50*2+H51+I51*2</f>
        <v>0</v>
      </c>
      <c r="I54" s="73"/>
      <c r="J54" s="72">
        <f>J46+K46*2+J47+K47*2+J48+K48*2+J49+K49*2+J50+K50*2+J51+K51*2</f>
        <v>0</v>
      </c>
      <c r="K54" s="73"/>
      <c r="L54" s="72">
        <f>L46+M46*2+L47+M47*2+L48+M48*2+L49+M49*2+L50+M50*2+L51+M51*2</f>
        <v>0</v>
      </c>
      <c r="M54" s="73"/>
      <c r="N54" s="72">
        <f>N46+O46*2+N47+O47*2+N48+O48*2+N49+O49*2+N50+O50*2+N51+O51*2</f>
        <v>0</v>
      </c>
      <c r="O54" s="73"/>
      <c r="P54" s="72">
        <f>P46+Q46*2+P47+Q47*2+P48+Q48*2+P49+Q49*2+P50+Q50*2+P51+Q51*2</f>
        <v>0</v>
      </c>
      <c r="Q54" s="73"/>
      <c r="R54" s="72">
        <f>R46+S46*2+R47+S47*2+R48+S48*2+R49+S49*2+R50+S50*2+R51+S51*2</f>
        <v>0</v>
      </c>
      <c r="S54" s="73"/>
      <c r="T54" s="72">
        <f>T46+U46*2+T47+U47*2+T48+U48*2+T49+U49*2+T50+U50*2+T51+U51*2</f>
        <v>0</v>
      </c>
      <c r="U54" s="73"/>
      <c r="V54" s="72">
        <f>V46+W46*2+V47+W47*2+V48+W48*2+V49+W49*2+V50+W50*2+V51+W51*2</f>
        <v>0</v>
      </c>
      <c r="W54" s="73"/>
      <c r="X54" s="72">
        <f>X46+Y46*2+X47+Y47*2+X48+Y48*2+X49+Y49*2+X50+Y50*2+X51+Y51*2</f>
        <v>0</v>
      </c>
      <c r="Y54" s="73"/>
      <c r="Z54" s="72">
        <f>Z46+AA46*2+Z47+AA47*2+Z48+AA48*2+Z49+AA49*2+Z50+AA50*2+Z51+AA51*2</f>
        <v>0</v>
      </c>
      <c r="AA54" s="73"/>
      <c r="AB54" s="72">
        <f>AB46+AC46*2+AB47+AC47*2+AB48+AC48*2+AB49+AC49*2+AB50+AC50*2+AB51+AC51*2</f>
        <v>0</v>
      </c>
      <c r="AC54" s="73"/>
      <c r="AD54" s="71"/>
      <c r="AE54" s="72"/>
      <c r="AF54" s="73"/>
      <c r="AG54" s="57"/>
      <c r="AH54" s="57"/>
      <c r="AI54" s="58"/>
      <c r="AJ54" s="57"/>
      <c r="AK54" s="58"/>
      <c r="AL54" s="57"/>
      <c r="AM54" s="59"/>
      <c r="AN54" s="60"/>
    </row>
    <row r="55" spans="1:40" ht="18" customHeight="1">
      <c r="A55" s="97" t="s">
        <v>59</v>
      </c>
      <c r="B55" s="98"/>
      <c r="C55" s="99"/>
      <c r="D55" s="75">
        <f>D52</f>
        <v>0</v>
      </c>
      <c r="E55" s="73"/>
      <c r="F55" s="75">
        <f>F52</f>
        <v>0</v>
      </c>
      <c r="G55" s="73"/>
      <c r="H55" s="75">
        <f>H52</f>
        <v>0</v>
      </c>
      <c r="I55" s="73"/>
      <c r="J55" s="75">
        <f>J52</f>
        <v>0</v>
      </c>
      <c r="K55" s="73"/>
      <c r="L55" s="75">
        <f>L52</f>
        <v>0</v>
      </c>
      <c r="M55" s="73"/>
      <c r="N55" s="75">
        <f>N52</f>
        <v>0</v>
      </c>
      <c r="O55" s="73"/>
      <c r="P55" s="75">
        <f>P52</f>
        <v>0</v>
      </c>
      <c r="Q55" s="73"/>
      <c r="R55" s="75">
        <f>R52</f>
        <v>0</v>
      </c>
      <c r="S55" s="73"/>
      <c r="T55" s="75">
        <f>T52</f>
        <v>0</v>
      </c>
      <c r="U55" s="73"/>
      <c r="V55" s="75">
        <f>V52</f>
        <v>0</v>
      </c>
      <c r="W55" s="73"/>
      <c r="X55" s="75">
        <f>X52</f>
        <v>0</v>
      </c>
      <c r="Y55" s="73"/>
      <c r="Z55" s="75">
        <f>Z52</f>
        <v>0</v>
      </c>
      <c r="AA55" s="73"/>
      <c r="AB55" s="75">
        <f>AB52</f>
        <v>0</v>
      </c>
      <c r="AC55" s="73"/>
      <c r="AD55" s="71"/>
      <c r="AE55" s="75"/>
      <c r="AF55" s="73"/>
      <c r="AG55" s="61"/>
      <c r="AH55" s="61"/>
      <c r="AI55" s="62"/>
      <c r="AJ55" s="57"/>
      <c r="AK55" s="58"/>
      <c r="AL55" s="61"/>
      <c r="AM55" s="59"/>
      <c r="AN55" s="63"/>
    </row>
    <row r="56" spans="1:40" ht="18" customHeight="1">
      <c r="A56" s="64"/>
      <c r="B56" s="49"/>
      <c r="C56" s="65"/>
      <c r="D56" s="50"/>
      <c r="E56" s="51"/>
      <c r="F56" s="50"/>
      <c r="G56" s="51"/>
      <c r="H56" s="50"/>
      <c r="I56" s="51"/>
      <c r="J56" s="50"/>
      <c r="K56" s="51"/>
      <c r="L56" s="50"/>
      <c r="M56" s="51"/>
      <c r="N56" s="50"/>
      <c r="O56" s="51"/>
      <c r="P56" s="50"/>
      <c r="Q56" s="51"/>
      <c r="R56" s="50"/>
      <c r="S56" s="51"/>
      <c r="T56" s="50"/>
      <c r="U56" s="51"/>
      <c r="V56" s="50"/>
      <c r="W56" s="51"/>
      <c r="X56" s="50"/>
      <c r="Y56" s="51"/>
      <c r="Z56" s="50"/>
      <c r="AA56" s="51"/>
      <c r="AB56" s="50"/>
      <c r="AC56" s="51"/>
      <c r="AD56" s="66"/>
      <c r="AE56" s="50"/>
      <c r="AF56" s="51"/>
      <c r="AG56" s="50"/>
      <c r="AH56" s="50"/>
      <c r="AI56" s="51"/>
      <c r="AJ56" s="50"/>
      <c r="AK56" s="51"/>
      <c r="AL56" s="50"/>
      <c r="AM56" s="40"/>
      <c r="AN56" s="67"/>
    </row>
    <row r="57" spans="1:40" ht="18" customHeight="1">
      <c r="A57" s="64"/>
      <c r="B57" s="49"/>
      <c r="C57" s="65"/>
      <c r="D57" s="50"/>
      <c r="E57" s="51"/>
      <c r="F57" s="50"/>
      <c r="G57" s="51"/>
      <c r="H57" s="50"/>
      <c r="I57" s="51"/>
      <c r="J57" s="50"/>
      <c r="K57" s="51"/>
      <c r="L57" s="50"/>
      <c r="M57" s="51"/>
      <c r="N57" s="50"/>
      <c r="O57" s="51"/>
      <c r="P57" s="50"/>
      <c r="Q57" s="51"/>
      <c r="R57" s="50"/>
      <c r="S57" s="51"/>
      <c r="T57" s="50"/>
      <c r="U57" s="51"/>
      <c r="V57" s="50"/>
      <c r="W57" s="51"/>
      <c r="X57" s="50"/>
      <c r="Y57" s="51"/>
      <c r="Z57" s="50"/>
      <c r="AA57" s="51"/>
      <c r="AB57" s="50"/>
      <c r="AC57" s="51"/>
      <c r="AD57" s="66"/>
      <c r="AE57" s="50"/>
      <c r="AF57" s="51"/>
      <c r="AG57" s="50"/>
      <c r="AH57" s="50"/>
      <c r="AI57" s="51"/>
      <c r="AJ57" s="50"/>
      <c r="AK57" s="51"/>
      <c r="AL57" s="50"/>
      <c r="AM57" s="40"/>
      <c r="AN57" s="67"/>
    </row>
    <row r="58" spans="1:40" ht="18" customHeight="1">
      <c r="A58" s="97" t="s">
        <v>60</v>
      </c>
      <c r="B58" s="98"/>
      <c r="C58" s="99"/>
      <c r="D58" s="72">
        <f>D53+E53+AE21+AF21</f>
        <v>0</v>
      </c>
      <c r="E58" s="73"/>
      <c r="F58" s="72">
        <f>F53+G53+AE29+AF29</f>
        <v>0</v>
      </c>
      <c r="G58" s="73"/>
      <c r="H58" s="72">
        <f>H53+I53+AE37+AF37</f>
        <v>0</v>
      </c>
      <c r="I58" s="73"/>
      <c r="J58" s="72">
        <f>J53+K53+AE45+AF45</f>
        <v>0</v>
      </c>
      <c r="K58" s="73"/>
      <c r="L58" s="72">
        <f>L53+M53+0</f>
        <v>0</v>
      </c>
      <c r="M58" s="73"/>
      <c r="N58" s="72">
        <f>N53+O53+0</f>
        <v>0</v>
      </c>
      <c r="O58" s="73"/>
      <c r="P58" s="72">
        <f>P53+Q53+0</f>
        <v>0</v>
      </c>
      <c r="Q58" s="73"/>
      <c r="R58" s="72">
        <f>R53+S53+0</f>
        <v>0</v>
      </c>
      <c r="S58" s="73"/>
      <c r="T58" s="72">
        <f>T53+U53+0</f>
        <v>0</v>
      </c>
      <c r="U58" s="73"/>
      <c r="V58" s="72">
        <f>V53+W53+0</f>
        <v>0</v>
      </c>
      <c r="W58" s="73"/>
      <c r="X58" s="72">
        <f>X53+Y53+0</f>
        <v>0</v>
      </c>
      <c r="Y58" s="73"/>
      <c r="Z58" s="72">
        <f>Z53+AA53+0</f>
        <v>0</v>
      </c>
      <c r="AA58" s="73"/>
      <c r="AB58" s="72">
        <f>AB53+AC53+0</f>
        <v>0</v>
      </c>
      <c r="AC58" s="73"/>
      <c r="AD58" s="71"/>
      <c r="AE58" s="72"/>
      <c r="AF58" s="73"/>
      <c r="AG58" s="57"/>
      <c r="AH58" s="57"/>
      <c r="AI58" s="58"/>
      <c r="AJ58" s="57"/>
      <c r="AK58" s="58"/>
      <c r="AL58" s="57"/>
      <c r="AM58" s="59"/>
      <c r="AN58" s="60"/>
    </row>
    <row r="59" spans="1:40" ht="18" customHeight="1">
      <c r="A59" s="97" t="s">
        <v>61</v>
      </c>
      <c r="B59" s="98"/>
      <c r="C59" s="99"/>
      <c r="D59" s="72">
        <f>SUMIF(WB!$D$3:$Y$3,D3,WB!$D$106:$Y$106)+SUMIF(EB!$D$3:$AC$3,D3,EB!$D$58:$AC$58)</f>
        <v>0</v>
      </c>
      <c r="E59" s="73"/>
      <c r="F59" s="72">
        <f>SUMIF(WB!$D$3:$Y$3,F3,WB!$D$106:$Y$106)+SUMIF(EB!$D$3:$AC$3,F3,EB!$D$58:$AC$58)</f>
        <v>0</v>
      </c>
      <c r="G59" s="73"/>
      <c r="H59" s="72">
        <f>SUMIF(WB!$D$3:$Y$3,H3,WB!$D$106:$Y$106)+SUMIF(EB!$D$3:$AC$3,H3,EB!$D$58:$AC$58)</f>
        <v>0</v>
      </c>
      <c r="I59" s="73"/>
      <c r="J59" s="72">
        <f>SUMIF(WB!$D$3:$Y$3,J3,WB!$D$106:$Y$106)+SUMIF(EB!$D$3:$AC$3,J3,EB!$D$58:$AC$58)</f>
        <v>0</v>
      </c>
      <c r="K59" s="73"/>
      <c r="L59" s="72">
        <f>SUMIF(WB!$D$3:$Y$3,L3,WB!$D$106:$Y$106)+SUMIF(EB!$D$3:$AC$3,L3,EB!$D$58:$AC$58)</f>
        <v>0</v>
      </c>
      <c r="M59" s="73"/>
      <c r="N59" s="72">
        <f>SUMIF(WB!$D$3:$Y$3,N3,WB!$D$106:$Y$106)+SUMIF(EB!$D$3:$AC$3,N3,EB!$D$58:$AC$58)</f>
        <v>0</v>
      </c>
      <c r="O59" s="73"/>
      <c r="P59" s="72">
        <f>SUMIF(WB!$D$3:$Y$3,P3,WB!$D$106:$Y$106)+SUMIF(EB!$D$3:$AC$3,P3,EB!$D$58:$AC$58)</f>
        <v>0</v>
      </c>
      <c r="Q59" s="73"/>
      <c r="R59" s="72">
        <f>SUMIF(WB!$D$3:$Y$3,R3,WB!$D$106:$Y$106)+SUMIF(EB!$D$3:$AC$3,R3,EB!$D$58:$AC$58)</f>
        <v>0</v>
      </c>
      <c r="S59" s="73"/>
      <c r="T59" s="72">
        <f>SUMIF(WB!$D$3:$Y$3,T3,WB!$D$106:$Y$106)+SUMIF(EB!$D$3:$AC$3,T3,EB!$D$58:$AC$58)</f>
        <v>0</v>
      </c>
      <c r="U59" s="73"/>
      <c r="V59" s="72">
        <f>SUMIF(WB!$D$3:$Y$3,V3,WB!$D$106:$Y$106)+SUMIF(EB!$D$3:$AC$3,V3,EB!$D$58:$AC$58)</f>
        <v>0</v>
      </c>
      <c r="W59" s="73"/>
      <c r="X59" s="72">
        <f>SUMIF(WB!$D$3:$Y$3,X3,WB!$D$106:$Y$106)+SUMIF(EB!$D$3:$AC$3,X3,EB!$D$58:$AC$58)</f>
        <v>0</v>
      </c>
      <c r="Y59" s="73"/>
      <c r="Z59" s="72">
        <f>SUMIF(WB!$D$3:$Y$3,Z3,WB!$D$106:$Y$106)+SUMIF(EB!$D$3:$AC$3,Z3,EB!$D$58:$AC$58)</f>
        <v>0</v>
      </c>
      <c r="AA59" s="73"/>
      <c r="AB59" s="72">
        <f>SUMIF(WB!$D$3:$Y$3,AB3,WB!$D$106:$Y$106)+SUMIF(EB!$D$3:$AC$3,AB3,EB!$D$58:$AC$58)</f>
        <v>0</v>
      </c>
      <c r="AC59" s="73"/>
      <c r="AD59" s="71"/>
      <c r="AE59" s="72"/>
      <c r="AF59" s="73"/>
      <c r="AG59" s="57"/>
      <c r="AH59" s="57"/>
      <c r="AI59" s="58"/>
      <c r="AJ59" s="57"/>
      <c r="AK59" s="58"/>
      <c r="AL59" s="57"/>
      <c r="AM59" s="59"/>
      <c r="AN59" s="60"/>
    </row>
    <row r="60" spans="1:40" ht="18" customHeight="1">
      <c r="A60" s="97" t="s">
        <v>62</v>
      </c>
      <c r="B60" s="98"/>
      <c r="C60" s="99"/>
      <c r="D60" s="72"/>
      <c r="E60" s="73"/>
      <c r="F60" s="72"/>
      <c r="G60" s="73"/>
      <c r="H60" s="72"/>
      <c r="I60" s="73"/>
      <c r="J60" s="72"/>
      <c r="K60" s="73"/>
      <c r="L60" s="72"/>
      <c r="M60" s="73"/>
      <c r="N60" s="72"/>
      <c r="O60" s="73"/>
      <c r="P60" s="72"/>
      <c r="Q60" s="73"/>
      <c r="R60" s="72"/>
      <c r="S60" s="73"/>
      <c r="T60" s="72"/>
      <c r="U60" s="73"/>
      <c r="V60" s="72"/>
      <c r="W60" s="73"/>
      <c r="X60" s="72"/>
      <c r="Y60" s="73"/>
      <c r="Z60" s="72"/>
      <c r="AA60" s="73"/>
      <c r="AB60" s="72"/>
      <c r="AC60" s="73"/>
      <c r="AD60" s="71"/>
      <c r="AE60" s="72"/>
      <c r="AF60" s="73"/>
      <c r="AG60" s="57"/>
      <c r="AH60" s="57"/>
      <c r="AI60" s="58"/>
      <c r="AJ60" s="57"/>
      <c r="AK60" s="58"/>
      <c r="AL60" s="57"/>
      <c r="AM60" s="59"/>
      <c r="AN60" s="60"/>
    </row>
    <row r="61" spans="1:40" ht="18" customHeight="1">
      <c r="A61" s="87" t="s">
        <v>63</v>
      </c>
      <c r="B61" s="88"/>
      <c r="C61" s="102"/>
      <c r="D61" s="85">
        <f>D60-D59</f>
        <v>0</v>
      </c>
      <c r="E61" s="86"/>
      <c r="F61" s="85">
        <f>F60-F59</f>
        <v>0</v>
      </c>
      <c r="G61" s="86"/>
      <c r="H61" s="85">
        <f>H60-H59</f>
        <v>0</v>
      </c>
      <c r="I61" s="86"/>
      <c r="J61" s="85">
        <f>J60-J59</f>
        <v>0</v>
      </c>
      <c r="K61" s="86"/>
      <c r="L61" s="85">
        <f>L60-L59</f>
        <v>0</v>
      </c>
      <c r="M61" s="86"/>
      <c r="N61" s="85">
        <f>N60-N59</f>
        <v>0</v>
      </c>
      <c r="O61" s="86"/>
      <c r="P61" s="85">
        <f>P60-P59</f>
        <v>0</v>
      </c>
      <c r="Q61" s="86"/>
      <c r="R61" s="85">
        <f>R60-R59</f>
        <v>0</v>
      </c>
      <c r="S61" s="86"/>
      <c r="T61" s="85">
        <f>T60-T59</f>
        <v>0</v>
      </c>
      <c r="U61" s="86"/>
      <c r="V61" s="85">
        <f>V60-V59</f>
        <v>0</v>
      </c>
      <c r="W61" s="86"/>
      <c r="X61" s="85">
        <f>X60-X59</f>
        <v>0</v>
      </c>
      <c r="Y61" s="86"/>
      <c r="Z61" s="85">
        <f>Z60-Z59</f>
        <v>0</v>
      </c>
      <c r="AA61" s="86"/>
      <c r="AB61" s="85">
        <f>AB60-AB59</f>
        <v>0</v>
      </c>
      <c r="AC61" s="86"/>
      <c r="AD61" s="54"/>
      <c r="AE61" s="85"/>
      <c r="AF61" s="86"/>
      <c r="AG61" s="52"/>
      <c r="AH61" s="52"/>
      <c r="AI61" s="53"/>
      <c r="AJ61" s="52"/>
      <c r="AK61" s="53"/>
      <c r="AL61" s="52"/>
      <c r="AM61" s="55"/>
      <c r="AN61" s="56"/>
    </row>
  </sheetData>
  <mergeCells count="228">
    <mergeCell ref="A29:B29"/>
    <mergeCell ref="T52:U52"/>
    <mergeCell ref="F60:G60"/>
    <mergeCell ref="A13:B13"/>
    <mergeCell ref="T36:U36"/>
    <mergeCell ref="L36:M36"/>
    <mergeCell ref="D44:E44"/>
    <mergeCell ref="AE55:AF55"/>
    <mergeCell ref="AB3:AC3"/>
    <mergeCell ref="AE2:AF2"/>
    <mergeCell ref="V59:W59"/>
    <mergeCell ref="H61:I61"/>
    <mergeCell ref="J55:K55"/>
    <mergeCell ref="L55:M55"/>
    <mergeCell ref="AE44:AF44"/>
    <mergeCell ref="X55:Y55"/>
    <mergeCell ref="V60:W60"/>
    <mergeCell ref="J54:K54"/>
    <mergeCell ref="L54:M54"/>
    <mergeCell ref="AE28:AF28"/>
    <mergeCell ref="V54:W54"/>
    <mergeCell ref="R3:S3"/>
    <mergeCell ref="N44:O44"/>
    <mergeCell ref="X61:Y61"/>
    <mergeCell ref="P44:Q44"/>
    <mergeCell ref="H44:I44"/>
    <mergeCell ref="H4:I4"/>
    <mergeCell ref="Z61:AA61"/>
    <mergeCell ref="AB4:AC4"/>
    <mergeCell ref="R4:S4"/>
    <mergeCell ref="F59:G59"/>
    <mergeCell ref="AE58:AF58"/>
    <mergeCell ref="F55:G55"/>
    <mergeCell ref="F12:G12"/>
    <mergeCell ref="V4:W4"/>
    <mergeCell ref="T4:U4"/>
    <mergeCell ref="AE4:AF4"/>
    <mergeCell ref="H59:I59"/>
    <mergeCell ref="T59:U59"/>
    <mergeCell ref="F58:G58"/>
    <mergeCell ref="F52:G52"/>
    <mergeCell ref="AE61:AF61"/>
    <mergeCell ref="Z58:AA58"/>
    <mergeCell ref="A21:B21"/>
    <mergeCell ref="L58:M58"/>
    <mergeCell ref="R20:S20"/>
    <mergeCell ref="D28:E28"/>
    <mergeCell ref="V36:W36"/>
    <mergeCell ref="N59:O59"/>
    <mergeCell ref="A59:C59"/>
    <mergeCell ref="L60:M60"/>
    <mergeCell ref="T60:U60"/>
    <mergeCell ref="N60:O60"/>
    <mergeCell ref="Z44:AA44"/>
    <mergeCell ref="D55:E55"/>
    <mergeCell ref="L52:M52"/>
    <mergeCell ref="Z20:AA20"/>
    <mergeCell ref="Z28:AA28"/>
    <mergeCell ref="A61:C61"/>
    <mergeCell ref="AB28:AC28"/>
    <mergeCell ref="T28:U28"/>
    <mergeCell ref="D54:E54"/>
    <mergeCell ref="R52:S52"/>
    <mergeCell ref="R61:S61"/>
    <mergeCell ref="V55:W55"/>
    <mergeCell ref="AH4:AI4"/>
    <mergeCell ref="AE3:AF3"/>
    <mergeCell ref="T54:U54"/>
    <mergeCell ref="A22:B26"/>
    <mergeCell ref="H60:I60"/>
    <mergeCell ref="N58:O58"/>
    <mergeCell ref="F36:G36"/>
    <mergeCell ref="AE52:AF52"/>
    <mergeCell ref="A6:B10"/>
    <mergeCell ref="D3:E3"/>
    <mergeCell ref="D12:E12"/>
    <mergeCell ref="P3:Q3"/>
    <mergeCell ref="P12:Q12"/>
    <mergeCell ref="P54:Q54"/>
    <mergeCell ref="J52:K52"/>
    <mergeCell ref="Z36:AA36"/>
    <mergeCell ref="X12:Y12"/>
    <mergeCell ref="V12:W12"/>
    <mergeCell ref="A54:C54"/>
    <mergeCell ref="AH3:AI3"/>
    <mergeCell ref="H3:I3"/>
    <mergeCell ref="H20:I20"/>
    <mergeCell ref="J44:K44"/>
    <mergeCell ref="D59:E59"/>
    <mergeCell ref="AL3:AM3"/>
    <mergeCell ref="AJ3:AK3"/>
    <mergeCell ref="AE1:AN1"/>
    <mergeCell ref="H1:AC1"/>
    <mergeCell ref="A1:G1"/>
    <mergeCell ref="L20:M20"/>
    <mergeCell ref="A58:C58"/>
    <mergeCell ref="X58:Y58"/>
    <mergeCell ref="N28:O28"/>
    <mergeCell ref="AB52:AC52"/>
    <mergeCell ref="P28:Q28"/>
    <mergeCell ref="F28:G28"/>
    <mergeCell ref="H28:I28"/>
    <mergeCell ref="L44:M44"/>
    <mergeCell ref="H12:I12"/>
    <mergeCell ref="Z4:AA4"/>
    <mergeCell ref="X4:Y4"/>
    <mergeCell ref="J3:K3"/>
    <mergeCell ref="J12:K12"/>
    <mergeCell ref="X44:Y44"/>
    <mergeCell ref="A14:B18"/>
    <mergeCell ref="F44:G44"/>
    <mergeCell ref="N55:O55"/>
    <mergeCell ref="X36:Y36"/>
    <mergeCell ref="AL4:AM4"/>
    <mergeCell ref="X54:Y54"/>
    <mergeCell ref="P58:Q58"/>
    <mergeCell ref="AE36:AF36"/>
    <mergeCell ref="R58:S58"/>
    <mergeCell ref="J58:K58"/>
    <mergeCell ref="R60:S60"/>
    <mergeCell ref="F54:G54"/>
    <mergeCell ref="H54:I54"/>
    <mergeCell ref="AE59:AF59"/>
    <mergeCell ref="R59:S59"/>
    <mergeCell ref="P60:Q60"/>
    <mergeCell ref="AE12:AF12"/>
    <mergeCell ref="P52:Q52"/>
    <mergeCell ref="N36:O36"/>
    <mergeCell ref="F20:G20"/>
    <mergeCell ref="T55:U55"/>
    <mergeCell ref="P36:Q36"/>
    <mergeCell ref="R36:S36"/>
    <mergeCell ref="H36:I36"/>
    <mergeCell ref="J36:K36"/>
    <mergeCell ref="N52:O52"/>
    <mergeCell ref="AB36:AC36"/>
    <mergeCell ref="J20:K20"/>
    <mergeCell ref="AB61:AC61"/>
    <mergeCell ref="L4:M4"/>
    <mergeCell ref="X20:Y20"/>
    <mergeCell ref="R54:S54"/>
    <mergeCell ref="T61:U61"/>
    <mergeCell ref="D4:E4"/>
    <mergeCell ref="A53:B53"/>
    <mergeCell ref="AE60:AF60"/>
    <mergeCell ref="AJ4:AK4"/>
    <mergeCell ref="A45:B45"/>
    <mergeCell ref="A55:C55"/>
    <mergeCell ref="A5:C5"/>
    <mergeCell ref="A37:B37"/>
    <mergeCell ref="A4:C4"/>
    <mergeCell ref="AB12:AC12"/>
    <mergeCell ref="Z12:AA12"/>
    <mergeCell ref="F61:G61"/>
    <mergeCell ref="Z60:AA60"/>
    <mergeCell ref="X60:Y60"/>
    <mergeCell ref="A60:C60"/>
    <mergeCell ref="L59:M59"/>
    <mergeCell ref="X59:Y59"/>
    <mergeCell ref="Z59:AA59"/>
    <mergeCell ref="J61:K61"/>
    <mergeCell ref="D61:E61"/>
    <mergeCell ref="T44:U44"/>
    <mergeCell ref="V44:W44"/>
    <mergeCell ref="N61:O61"/>
    <mergeCell ref="H52:I52"/>
    <mergeCell ref="P61:Q61"/>
    <mergeCell ref="Z52:AA52"/>
    <mergeCell ref="R12:S12"/>
    <mergeCell ref="T3:U3"/>
    <mergeCell ref="R55:S55"/>
    <mergeCell ref="T12:U12"/>
    <mergeCell ref="J4:K4"/>
    <mergeCell ref="X3:Y3"/>
    <mergeCell ref="Z3:AA3"/>
    <mergeCell ref="L61:M61"/>
    <mergeCell ref="P4:Q4"/>
    <mergeCell ref="N4:O4"/>
    <mergeCell ref="F4:G4"/>
    <mergeCell ref="P55:Q55"/>
    <mergeCell ref="Z55:AA55"/>
    <mergeCell ref="V61:W61"/>
    <mergeCell ref="V3:W3"/>
    <mergeCell ref="N54:O54"/>
    <mergeCell ref="Z54:AA54"/>
    <mergeCell ref="A30:B34"/>
    <mergeCell ref="L3:M3"/>
    <mergeCell ref="AB60:AC60"/>
    <mergeCell ref="V20:W20"/>
    <mergeCell ref="L12:M12"/>
    <mergeCell ref="N3:O3"/>
    <mergeCell ref="P59:Q59"/>
    <mergeCell ref="N12:O12"/>
    <mergeCell ref="D2:H2"/>
    <mergeCell ref="V28:W28"/>
    <mergeCell ref="X28:Y28"/>
    <mergeCell ref="AB44:AC44"/>
    <mergeCell ref="AB59:AC59"/>
    <mergeCell ref="A3:C3"/>
    <mergeCell ref="A38:B42"/>
    <mergeCell ref="AB55:AC55"/>
    <mergeCell ref="H58:I58"/>
    <mergeCell ref="AB54:AC54"/>
    <mergeCell ref="A2:C2"/>
    <mergeCell ref="T58:U58"/>
    <mergeCell ref="D52:E52"/>
    <mergeCell ref="AB20:AC20"/>
    <mergeCell ref="T20:U20"/>
    <mergeCell ref="F3:G3"/>
    <mergeCell ref="D20:E20"/>
    <mergeCell ref="D60:E60"/>
    <mergeCell ref="R44:S44"/>
    <mergeCell ref="N20:O20"/>
    <mergeCell ref="P20:Q20"/>
    <mergeCell ref="AB58:AC58"/>
    <mergeCell ref="AE54:AF54"/>
    <mergeCell ref="V58:W58"/>
    <mergeCell ref="R28:S28"/>
    <mergeCell ref="J59:K59"/>
    <mergeCell ref="V52:W52"/>
    <mergeCell ref="D36:E36"/>
    <mergeCell ref="L28:M28"/>
    <mergeCell ref="J28:K28"/>
    <mergeCell ref="X52:Y52"/>
    <mergeCell ref="H55:I55"/>
    <mergeCell ref="J60:K60"/>
    <mergeCell ref="AE20:AF20"/>
    <mergeCell ref="D58:E58"/>
  </mergeCells>
  <phoneticPr fontId="2" type="noConversion"/>
  <conditionalFormatting sqref="AJ6:AK53">
    <cfRule type="cellIs" dxfId="2" priority="3" operator="equal">
      <formula>1</formula>
    </cfRule>
    <cfRule type="cellIs" dxfId="1" priority="4" operator="greaterThan">
      <formula>1</formula>
    </cfRule>
  </conditionalFormatting>
  <conditionalFormatting sqref="AL6:AM53">
    <cfRule type="cellIs" dxfId="0" priority="7" operator="lessThan">
      <formula>0</formula>
    </cfRule>
  </conditionalFormatting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WB</vt:lpstr>
      <vt:lpstr>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Wu/CUL-SG/LH Trade</cp:lastModifiedBy>
  <dcterms:created xsi:type="dcterms:W3CDTF">2026-06-15T13:43:46Z</dcterms:created>
  <dcterms:modified xsi:type="dcterms:W3CDTF">2026-06-16T14:51:35Z</dcterms:modified>
</cp:coreProperties>
</file>