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B" sheetId="1" state="visible" r:id="rId1"/>
    <sheet xmlns:r="http://schemas.openxmlformats.org/officeDocument/2006/relationships" name="EB" sheetId="2" state="visible" r:id="rId2"/>
  </sheets>
  <definedNames/>
</workbook>
</file>

<file path=xl/styles.xml><?xml version="1.0" encoding="utf-8"?>
<styleSheet xmlns="http://schemas.openxmlformats.org/spreadsheetml/2006/main">
  <numFmts count="6">
    <numFmt numFmtId="164" formatCode="0.0%"/>
    <numFmt numFmtId="165" formatCode="0.0"/>
    <numFmt numFmtId="166" formatCode="0;-0;;@"/>
    <numFmt numFmtId="167" formatCode="0.0%;-0.0%;;@"/>
    <numFmt numFmtId="168" formatCode="0.0;-0.0;;@"/>
    <numFmt numFmtId="169" formatCode="0%;-0%;;@"/>
  </numFmts>
  <fonts count="7">
    <font>
      <name val="Carlito"/>
      <sz val="11"/>
    </font>
    <font>
      <name val="Carlito"/>
      <b val="1"/>
      <sz val="11"/>
    </font>
    <font>
      <name val="Carlito"/>
      <b val="1"/>
      <color rgb="FF000000"/>
      <sz val="11"/>
    </font>
    <font>
      <name val="Calibri"/>
      <sz val="10"/>
    </font>
    <font>
      <name val="Calibri"/>
      <b val="1"/>
      <sz val="11"/>
    </font>
    <font>
      <name val="Calibri"/>
      <b val="1"/>
      <sz val="10"/>
    </font>
    <font>
      <name val="Calibri"/>
      <b val="1"/>
      <sz val="9"/>
    </font>
  </fonts>
  <fills count="13">
    <fill>
      <patternFill/>
    </fill>
    <fill>
      <patternFill patternType="gray125"/>
    </fill>
    <fill>
      <patternFill patternType="solid">
        <fgColor rgb="FF99CCFF"/>
      </patternFill>
    </fill>
    <fill>
      <patternFill patternType="solid">
        <fgColor rgb="FFFFFF00"/>
      </patternFill>
    </fill>
    <fill>
      <patternFill patternType="solid">
        <fgColor rgb="FFFFFFFF"/>
      </patternFill>
    </fill>
    <fill>
      <patternFill patternType="solid">
        <fgColor rgb="FFEAF4FF"/>
      </patternFill>
    </fill>
    <fill>
      <patternFill patternType="solid">
        <fgColor rgb="FFF6F6F6"/>
      </patternFill>
    </fill>
    <fill>
      <patternFill patternType="solid">
        <fgColor rgb="FFFFF2CC"/>
      </patternFill>
    </fill>
    <fill>
      <patternFill patternType="solid">
        <fgColor rgb="00FFFFFF"/>
      </patternFill>
    </fill>
    <fill>
      <patternFill patternType="solid">
        <fgColor rgb="0099CCFF"/>
      </patternFill>
    </fill>
    <fill>
      <patternFill patternType="solid">
        <fgColor rgb="00FFFF00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02">
    <border/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808080"/>
      </top>
    </border>
    <border>
      <right style="thin">
        <color rgb="FF808080"/>
      </right>
      <top style="thin">
        <color rgb="FF808080"/>
      </top>
    </border>
    <border>
      <top style="thin">
        <color rgb="FF808080"/>
      </top>
      <bottom style="thin">
        <color rgb="FF808080"/>
      </bottom>
    </border>
    <border>
      <right style="thin">
        <color rgb="FF808080"/>
      </right>
      <top style="thin">
        <color rgb="FF808080"/>
      </top>
      <bottom style="thin">
        <color rgb="FF808080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thin">
        <color rgb="00B7B7B7"/>
      </left>
      <right style="thin">
        <color rgb="00B7B7B7"/>
      </right>
      <top style="thick">
        <color rgb="00000000"/>
      </top>
      <bottom style="thin">
        <color rgb="00B7B7B7"/>
      </bottom>
    </border>
    <border>
      <left style="medium">
        <color rgb="00000000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thin">
        <color rgb="00B7B7B7"/>
      </left>
      <right style="medium">
        <color rgb="00000000"/>
      </right>
      <top style="thin">
        <color rgb="00B7B7B7"/>
      </top>
      <bottom style="thin">
        <color rgb="00B7B7B7"/>
      </bottom>
    </border>
    <border>
      <left style="thin">
        <color rgb="00B7B7B7"/>
      </left>
      <right style="thin">
        <color rgb="00B7B7B7"/>
      </right>
      <top style="medium">
        <color rgb="00000000"/>
      </top>
      <bottom style="thin">
        <color rgb="00B7B7B7"/>
      </bottom>
    </border>
    <border>
      <left style="thin">
        <color rgb="00B7B7B7"/>
      </left>
      <right style="thin">
        <color rgb="00B7B7B7"/>
      </right>
      <top style="thin">
        <color rgb="00B7B7B7"/>
      </top>
      <bottom style="medium">
        <color rgb="00000000"/>
      </bottom>
    </border>
    <border>
      <left style="medium">
        <color rgb="00000000"/>
      </left>
      <right style="thin">
        <color rgb="00B7B7B7"/>
      </right>
      <top style="medium">
        <color rgb="00000000"/>
      </top>
      <bottom style="thin">
        <color rgb="00B7B7B7"/>
      </bottom>
    </border>
    <border>
      <left style="medium">
        <color rgb="00000000"/>
      </left>
      <right style="thin">
        <color rgb="00B7B7B7"/>
      </right>
      <top style="thin">
        <color rgb="00B7B7B7"/>
      </top>
      <bottom style="medium">
        <color rgb="00000000"/>
      </bottom>
    </border>
    <border>
      <left style="thin">
        <color rgb="00B7B7B7"/>
      </left>
      <right style="medium">
        <color rgb="00000000"/>
      </right>
      <top style="medium">
        <color rgb="00000000"/>
      </top>
      <bottom style="thin">
        <color rgb="00B7B7B7"/>
      </bottom>
    </border>
    <border>
      <left style="thin">
        <color rgb="00B7B7B7"/>
      </left>
      <right style="medium">
        <color rgb="00000000"/>
      </right>
      <top style="thin">
        <color rgb="00B7B7B7"/>
      </top>
      <bottom style="medium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top style="medium">
        <color rgb="00000000"/>
      </top>
    </border>
    <border>
      <right style="thin">
        <color rgb="00B7B7B7"/>
      </right>
      <top style="medium">
        <color rgb="00000000"/>
      </top>
    </border>
    <border>
      <right style="thin">
        <color rgb="00B7B7B7"/>
      </right>
      <top style="medium">
        <color rgb="00000000"/>
      </top>
      <bottom style="thin">
        <color rgb="00B7B7B7"/>
      </bottom>
    </border>
    <border>
      <right style="medium">
        <color rgb="00000000"/>
      </right>
      <top style="medium">
        <color rgb="00000000"/>
      </top>
    </border>
    <border>
      <right style="medium">
        <color rgb="00000000"/>
      </right>
      <top style="medium">
        <color rgb="00000000"/>
      </top>
      <bottom style="medium">
        <color rgb="00000000"/>
      </bottom>
    </border>
    <border>
      <top style="thin">
        <color rgb="00B7B7B7"/>
      </top>
    </border>
    <border>
      <right style="thin">
        <color rgb="00B7B7B7"/>
      </right>
      <top style="thin">
        <color rgb="00B7B7B7"/>
      </top>
    </border>
    <border>
      <right style="thin">
        <color rgb="00B7B7B7"/>
      </right>
      <top style="thin">
        <color rgb="00B7B7B7"/>
      </top>
      <bottom style="thin">
        <color rgb="00B7B7B7"/>
      </bottom>
    </border>
    <border>
      <top style="thick">
        <color rgb="00000000"/>
      </top>
    </border>
    <border>
      <right style="thin">
        <color rgb="00B7B7B7"/>
      </right>
      <top style="thick">
        <color rgb="00000000"/>
      </top>
    </border>
    <border>
      <top style="thick">
        <color rgb="00000000"/>
      </top>
      <bottom style="thin">
        <color rgb="00B7B7B7"/>
      </bottom>
    </border>
    <border>
      <right style="thin">
        <color rgb="00B7B7B7"/>
      </right>
      <top style="thick">
        <color rgb="00000000"/>
      </top>
      <bottom style="thin">
        <color rgb="00B7B7B7"/>
      </bottom>
    </border>
    <border>
      <top style="medium">
        <color rgb="00000000"/>
      </top>
      <bottom style="thin">
        <color rgb="00B7B7B7"/>
      </bottom>
    </border>
    <border>
      <top style="thin">
        <color rgb="00B7B7B7"/>
      </top>
      <bottom style="medium">
        <color rgb="00000000"/>
      </bottom>
    </border>
    <border>
      <right style="thin">
        <color rgb="00B7B7B7"/>
      </right>
      <top style="thin">
        <color rgb="00B7B7B7"/>
      </top>
      <bottom style="medium">
        <color rgb="00000000"/>
      </bottom>
    </border>
    <border>
      <top style="medium">
        <color rgb="00000000"/>
      </top>
      <bottom style="medium">
        <color rgb="00000000"/>
      </bottom>
    </border>
    <border>
      <top style="thin">
        <color rgb="00B7B7B7"/>
      </top>
      <bottom style="thin">
        <color rgb="00B7B7B7"/>
      </bottom>
    </border>
    <border>
      <left style="medium">
        <color rgb="00000000"/>
      </left>
      <right/>
      <top style="medium">
        <color rgb="00000000"/>
      </top>
      <bottom/>
    </border>
    <border>
      <left/>
      <right/>
      <top style="medium">
        <color rgb="00000000"/>
      </top>
      <bottom/>
    </border>
    <border>
      <left/>
      <right style="medium">
        <color rgb="00000000"/>
      </right>
      <top style="medium">
        <color rgb="00000000"/>
      </top>
      <bottom/>
    </border>
    <border>
      <left style="medium">
        <color rgb="00000000"/>
      </left>
      <right/>
      <top/>
      <bottom/>
    </border>
    <border>
      <left/>
      <right/>
      <top/>
      <bottom/>
    </border>
    <border>
      <left/>
      <right style="medium">
        <color rgb="00000000"/>
      </right>
      <top/>
      <bottom/>
    </border>
    <border>
      <left style="medium">
        <color rgb="00000000"/>
      </left>
      <right/>
      <top/>
      <bottom style="medium">
        <color rgb="00000000"/>
      </bottom>
    </border>
    <border>
      <left/>
      <right/>
      <top/>
      <bottom style="medium">
        <color rgb="00000000"/>
      </bottom>
    </border>
    <border>
      <left/>
      <right style="medium">
        <color rgb="00000000"/>
      </right>
      <top/>
      <bottom style="medium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/>
    </border>
    <border>
      <left style="medium">
        <color rgb="00000000"/>
      </left>
      <right style="medium">
        <color rgb="00000000"/>
      </right>
      <top/>
      <bottom style="medium">
        <color rgb="00000000"/>
      </bottom>
    </border>
    <border>
      <right style="medium">
        <color rgb="00000000"/>
      </right>
    </border>
    <border>
      <bottom style="medium">
        <color rgb="00000000"/>
      </bottom>
    </border>
    <border>
      <right style="medium">
        <color rgb="00000000"/>
      </right>
      <bottom style="medium">
        <color rgb="00000000"/>
      </bottom>
    </border>
    <border>
      <left style="medium">
        <color rgb="00000000"/>
      </left>
      <right style="medium">
        <color rgb="00000000"/>
      </right>
      <top/>
      <bottom/>
    </border>
    <border>
      <left style="thin">
        <color rgb="00B7B7B7"/>
      </left>
    </border>
    <border>
      <right style="thin">
        <color rgb="00B7B7B7"/>
      </right>
    </border>
    <border>
      <left style="thin">
        <color rgb="00B7B7B7"/>
      </left>
      <bottom style="thin">
        <color rgb="00B7B7B7"/>
      </bottom>
    </border>
    <border>
      <right style="thin">
        <color rgb="00B7B7B7"/>
      </right>
      <bottom style="thin">
        <color rgb="00B7B7B7"/>
      </bottom>
    </border>
    <border>
      <left style="medium">
        <color rgb="00000000"/>
      </left>
      <right style="medium">
        <color rgb="00000000"/>
      </right>
      <top style="thin">
        <color rgb="00B7B7B7"/>
      </top>
      <bottom style="thin">
        <color rgb="00B7B7B7"/>
      </bottom>
    </border>
    <border>
      <right style="medium">
        <color rgb="00000000"/>
      </right>
      <top style="thin">
        <color rgb="00B7B7B7"/>
      </top>
    </border>
    <border>
      <right style="medium">
        <color rgb="00000000"/>
      </right>
      <top style="thin">
        <color rgb="00B7B7B7"/>
      </top>
      <bottom style="thin">
        <color rgb="00B7B7B7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top style="thin">
        <color rgb="00000000"/>
      </top>
    </border>
    <border>
      <right style="thin">
        <color rgb="00000000"/>
      </right>
      <top style="thin">
        <color rgb="00000000"/>
      </top>
    </border>
    <border>
      <right style="thin">
        <color rgb="00000000"/>
      </right>
      <top style="thin">
        <color rgb="00000000"/>
      </top>
      <bottom style="thin">
        <color rgb="00000000"/>
      </bottom>
    </border>
    <border>
      <right style="thin">
        <color rgb="00000000"/>
      </right>
      <top style="thin">
        <color rgb="00000000"/>
      </top>
      <bottom style="medium">
        <color rgb="00000000"/>
      </bottom>
    </border>
    <border>
      <right style="thin">
        <color rgb="00000000"/>
      </right>
      <top style="medium">
        <color rgb="00000000"/>
      </top>
    </border>
    <border>
      <right style="thin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</border>
    <border>
      <right style="thin">
        <color rgb="00000000"/>
      </right>
    </border>
    <border>
      <left style="medium">
        <color rgb="00000000"/>
      </left>
      <bottom style="thin">
        <color rgb="00000000"/>
      </bottom>
    </border>
    <border>
      <right style="thin">
        <color rgb="00000000"/>
      </right>
      <bottom style="thin">
        <color rgb="00000000"/>
      </bottom>
    </border>
    <border>
      <top style="thin">
        <color rgb="00000000"/>
      </top>
      <bottom style="thin">
        <color rgb="00000000"/>
      </bottom>
    </border>
    <border>
      <top style="thin">
        <color rgb="00000000"/>
      </top>
      <bottom style="medium">
        <color rgb="00000000"/>
      </bottom>
    </border>
    <border>
      <top style="medium">
        <color rgb="00000000"/>
      </top>
      <bottom style="thin">
        <color rgb="00000000"/>
      </bottom>
    </border>
    <border>
      <right style="medium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/>
      <top style="medium">
        <color rgb="00000000"/>
      </top>
      <bottom/>
    </border>
    <border>
      <left style="thin">
        <color rgb="00000000"/>
      </left>
      <right/>
      <top/>
      <bottom/>
    </border>
    <border>
      <left style="thin">
        <color rgb="00000000"/>
      </left>
      <right/>
      <top/>
      <bottom style="medium">
        <color rgb="00000000"/>
      </bottom>
    </border>
    <border>
      <left style="thin">
        <color rgb="00000000"/>
      </left>
      <right/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 style="thin">
        <color rgb="00000000"/>
      </bottom>
    </border>
    <border>
      <left style="medium">
        <color rgb="00000000"/>
      </left>
      <right/>
      <top style="thin">
        <color rgb="00000000"/>
      </top>
      <bottom style="thin">
        <color rgb="00000000"/>
      </bottom>
    </border>
    <border>
      <left/>
      <right style="medium">
        <color rgb="00000000"/>
      </right>
      <top style="thin">
        <color rgb="00000000"/>
      </top>
      <bottom style="thin">
        <color rgb="00000000"/>
      </bottom>
    </border>
    <border>
      <left/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/>
      <top style="thin">
        <color rgb="00000000"/>
      </top>
      <bottom style="medium">
        <color rgb="00000000"/>
      </bottom>
    </border>
    <border>
      <left/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/>
      <top style="thin">
        <color rgb="00000000"/>
      </top>
      <bottom style="medium">
        <color rgb="00000000"/>
      </bottom>
    </border>
    <border>
      <left/>
      <right/>
      <top style="thin">
        <color rgb="00000000"/>
      </top>
      <bottom style="medium">
        <color rgb="00000000"/>
      </bottom>
    </border>
    <border>
      <right style="medium">
        <color rgb="00000000"/>
      </right>
      <top style="thin">
        <color rgb="00000000"/>
      </top>
    </border>
    <border>
      <right style="medium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/>
    </border>
  </borders>
  <cellStyleXfs count="1">
    <xf numFmtId="0" fontId="0" fillId="0" borderId="0"/>
  </cellStyleXfs>
  <cellXfs count="467"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0" fillId="4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applyAlignment="1" pivotButton="0" quotePrefix="0" xfId="0">
      <alignment horizontal="center" vertical="center"/>
    </xf>
    <xf numFmtId="0" fontId="0" fillId="4" borderId="2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 vertical="center"/>
    </xf>
    <xf numFmtId="0" fontId="1" fillId="5" borderId="2" applyAlignment="1" pivotButton="0" quotePrefix="0" xfId="0">
      <alignment horizontal="center" vertical="center"/>
    </xf>
    <xf numFmtId="0" fontId="0" fillId="5" borderId="2" applyAlignment="1" pivotButton="0" quotePrefix="0" xfId="0">
      <alignment horizontal="center" vertical="center"/>
    </xf>
    <xf numFmtId="0" fontId="1" fillId="6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0" fontId="1" fillId="7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164" fontId="0" fillId="4" borderId="2" applyAlignment="1" pivotButton="0" quotePrefix="0" xfId="0">
      <alignment horizontal="center" vertical="center"/>
    </xf>
    <xf numFmtId="164" fontId="0" fillId="5" borderId="2" applyAlignment="1" pivotButton="0" quotePrefix="0" xfId="0">
      <alignment horizontal="center" vertical="center"/>
    </xf>
    <xf numFmtId="164" fontId="0" fillId="6" borderId="2" applyAlignment="1" pivotButton="0" quotePrefix="0" xfId="0">
      <alignment horizontal="center" vertical="center"/>
    </xf>
    <xf numFmtId="164" fontId="0" fillId="7" borderId="2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9" pivotButton="0" quotePrefix="0" xfId="0"/>
    <xf numFmtId="164" fontId="0" fillId="4" borderId="2" applyAlignment="1" pivotButton="0" quotePrefix="0" xfId="0">
      <alignment horizontal="center" vertical="center"/>
    </xf>
    <xf numFmtId="164" fontId="0" fillId="5" borderId="2" applyAlignment="1" pivotButton="0" quotePrefix="0" xfId="0">
      <alignment horizontal="center" vertical="center"/>
    </xf>
    <xf numFmtId="164" fontId="0" fillId="6" borderId="2" applyAlignment="1" pivotButton="0" quotePrefix="0" xfId="0">
      <alignment horizontal="center" vertical="center"/>
    </xf>
    <xf numFmtId="0" fontId="0" fillId="0" borderId="10" pivotButton="0" quotePrefix="0" xfId="0"/>
    <xf numFmtId="164" fontId="0" fillId="7" borderId="2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5" fillId="9" borderId="12" applyAlignment="1" pivotButton="0" quotePrefix="0" xfId="0">
      <alignment horizontal="center" vertical="center"/>
    </xf>
    <xf numFmtId="0" fontId="5" fillId="10" borderId="12" applyAlignment="1" pivotButton="0" quotePrefix="0" xfId="0">
      <alignment horizontal="center" vertical="center"/>
    </xf>
    <xf numFmtId="0" fontId="5" fillId="9" borderId="15" applyAlignment="1" pivotButton="0" quotePrefix="0" xfId="0">
      <alignment horizontal="right" vertical="center"/>
    </xf>
    <xf numFmtId="0" fontId="5" fillId="9" borderId="17" applyAlignment="1" pivotButton="0" quotePrefix="0" xfId="0">
      <alignment horizontal="center" vertical="center"/>
    </xf>
    <xf numFmtId="0" fontId="5" fillId="9" borderId="19" applyAlignment="1" pivotButton="0" quotePrefix="0" xfId="0">
      <alignment horizontal="center" vertical="center"/>
    </xf>
    <xf numFmtId="0" fontId="5" fillId="9" borderId="15" applyAlignment="1" pivotButton="0" quotePrefix="0" xfId="0">
      <alignment horizontal="center" vertical="center"/>
    </xf>
    <xf numFmtId="0" fontId="5" fillId="9" borderId="11" applyAlignment="1" pivotButton="0" quotePrefix="0" xfId="0">
      <alignment horizontal="right" vertical="center"/>
    </xf>
    <xf numFmtId="0" fontId="5" fillId="9" borderId="13" applyAlignment="1" pivotButton="0" quotePrefix="0" xfId="0">
      <alignment horizontal="center" vertical="center"/>
    </xf>
    <xf numFmtId="0" fontId="5" fillId="9" borderId="14" applyAlignment="1" pivotButton="0" quotePrefix="0" xfId="0">
      <alignment horizontal="center" vertical="center"/>
    </xf>
    <xf numFmtId="0" fontId="5" fillId="9" borderId="11" applyAlignment="1" pivotButton="0" quotePrefix="0" xfId="0">
      <alignment horizontal="center" vertical="center"/>
    </xf>
    <xf numFmtId="0" fontId="5" fillId="9" borderId="16" applyAlignment="1" pivotButton="0" quotePrefix="0" xfId="0">
      <alignment horizontal="left" vertical="center"/>
    </xf>
    <xf numFmtId="0" fontId="5" fillId="9" borderId="18" applyAlignment="1" pivotButton="0" quotePrefix="0" xfId="0">
      <alignment horizontal="center" vertical="center"/>
    </xf>
    <xf numFmtId="0" fontId="5" fillId="9" borderId="20" applyAlignment="1" pivotButton="0" quotePrefix="0" xfId="0">
      <alignment horizontal="center" vertical="center"/>
    </xf>
    <xf numFmtId="0" fontId="5" fillId="9" borderId="16" applyAlignment="1" pivotButton="0" quotePrefix="0" xfId="0">
      <alignment horizontal="center" vertical="center"/>
    </xf>
    <xf numFmtId="0" fontId="5" fillId="8" borderId="11" applyAlignment="1" pivotButton="0" quotePrefix="0" xfId="0">
      <alignment horizontal="center" vertical="center"/>
    </xf>
    <xf numFmtId="0" fontId="5" fillId="8" borderId="14" applyAlignment="1" pivotButton="0" quotePrefix="0" xfId="0">
      <alignment horizontal="left" vertical="center"/>
    </xf>
    <xf numFmtId="1" fontId="3" fillId="8" borderId="13" applyAlignment="1" pivotButton="0" quotePrefix="0" xfId="0">
      <alignment horizontal="center" vertical="center"/>
    </xf>
    <xf numFmtId="1" fontId="3" fillId="8" borderId="14" applyAlignment="1" pivotButton="0" quotePrefix="0" xfId="0">
      <alignment horizontal="center" vertical="center"/>
    </xf>
    <xf numFmtId="1" fontId="3" fillId="8" borderId="11" applyAlignment="1" pivotButton="0" quotePrefix="0" xfId="0">
      <alignment horizontal="center" vertical="center"/>
    </xf>
    <xf numFmtId="164" fontId="3" fillId="8" borderId="11" applyAlignment="1" pivotButton="0" quotePrefix="0" xfId="0">
      <alignment horizontal="center" vertical="center"/>
    </xf>
    <xf numFmtId="165" fontId="3" fillId="8" borderId="11" applyAlignment="1" pivotButton="0" quotePrefix="0" xfId="0">
      <alignment horizontal="center" vertical="center"/>
    </xf>
    <xf numFmtId="0" fontId="5" fillId="8" borderId="16" applyAlignment="1" pivotButton="0" quotePrefix="0" xfId="0">
      <alignment horizontal="center" vertical="center"/>
    </xf>
    <xf numFmtId="0" fontId="5" fillId="8" borderId="20" applyAlignment="1" pivotButton="0" quotePrefix="0" xfId="0">
      <alignment horizontal="left" vertical="center"/>
    </xf>
    <xf numFmtId="1" fontId="3" fillId="8" borderId="18" applyAlignment="1" pivotButton="0" quotePrefix="0" xfId="0">
      <alignment horizontal="center" vertical="center"/>
    </xf>
    <xf numFmtId="1" fontId="3" fillId="8" borderId="20" applyAlignment="1" pivotButton="0" quotePrefix="0" xfId="0">
      <alignment horizontal="center" vertical="center"/>
    </xf>
    <xf numFmtId="1" fontId="3" fillId="8" borderId="16" applyAlignment="1" pivotButton="0" quotePrefix="0" xfId="0">
      <alignment horizontal="center" vertical="center"/>
    </xf>
    <xf numFmtId="164" fontId="3" fillId="8" borderId="16" applyAlignment="1" pivotButton="0" quotePrefix="0" xfId="0">
      <alignment horizontal="center" vertical="center"/>
    </xf>
    <xf numFmtId="165" fontId="3" fillId="8" borderId="16" applyAlignment="1" pivotButton="0" quotePrefix="0" xfId="0">
      <alignment horizontal="center" vertical="center"/>
    </xf>
    <xf numFmtId="0" fontId="5" fillId="11" borderId="11" applyAlignment="1" pivotButton="0" quotePrefix="0" xfId="0">
      <alignment horizontal="center" vertical="center"/>
    </xf>
    <xf numFmtId="0" fontId="3" fillId="11" borderId="11" applyAlignment="1" pivotButton="0" quotePrefix="0" xfId="0">
      <alignment horizontal="center" vertical="center"/>
    </xf>
    <xf numFmtId="0" fontId="5" fillId="11" borderId="11" applyAlignment="1" pivotButton="0" quotePrefix="0" xfId="0">
      <alignment horizontal="left" vertical="center"/>
    </xf>
    <xf numFmtId="1" fontId="3" fillId="11" borderId="11" applyAlignment="1" pivotButton="0" quotePrefix="0" xfId="0">
      <alignment horizontal="center" vertical="center"/>
    </xf>
    <xf numFmtId="164" fontId="3" fillId="11" borderId="11" applyAlignment="1" pivotButton="0" quotePrefix="0" xfId="0">
      <alignment horizontal="center" vertical="center"/>
    </xf>
    <xf numFmtId="165" fontId="3" fillId="11" borderId="11" applyAlignment="1" pivotButton="0" quotePrefix="0" xfId="0">
      <alignment horizontal="center" vertical="center"/>
    </xf>
    <xf numFmtId="0" fontId="5" fillId="11" borderId="16" applyAlignment="1" pivotButton="0" quotePrefix="0" xfId="0">
      <alignment horizontal="center" vertical="center"/>
    </xf>
    <xf numFmtId="0" fontId="5" fillId="11" borderId="16" applyAlignment="1" pivotButton="0" quotePrefix="0" xfId="0">
      <alignment horizontal="left" vertical="center"/>
    </xf>
    <xf numFmtId="1" fontId="5" fillId="11" borderId="16" applyAlignment="1" pivotButton="0" quotePrefix="0" xfId="0">
      <alignment horizontal="center" vertical="center"/>
    </xf>
    <xf numFmtId="164" fontId="5" fillId="11" borderId="16" applyAlignment="1" pivotButton="0" quotePrefix="0" xfId="0">
      <alignment horizontal="center" vertical="center"/>
    </xf>
    <xf numFmtId="165" fontId="5" fillId="11" borderId="16" applyAlignment="1" pivotButton="0" quotePrefix="0" xfId="0">
      <alignment horizontal="center" vertical="center"/>
    </xf>
    <xf numFmtId="0" fontId="5" fillId="8" borderId="21" applyAlignment="1" pivotButton="0" quotePrefix="0" xfId="0">
      <alignment horizontal="center" vertical="center"/>
    </xf>
    <xf numFmtId="1" fontId="5" fillId="8" borderId="21" applyAlignment="1" pivotButton="0" quotePrefix="0" xfId="0">
      <alignment horizontal="center" vertical="center"/>
    </xf>
    <xf numFmtId="164" fontId="5" fillId="8" borderId="21" applyAlignment="1" pivotButton="0" quotePrefix="0" xfId="0">
      <alignment horizontal="center" vertical="center"/>
    </xf>
    <xf numFmtId="165" fontId="5" fillId="8" borderId="21" applyAlignment="1" pivotButton="0" quotePrefix="0" xfId="0">
      <alignment horizontal="center" vertical="center"/>
    </xf>
    <xf numFmtId="0" fontId="3" fillId="8" borderId="11" applyAlignment="1" pivotButton="0" quotePrefix="0" xfId="0">
      <alignment horizontal="center" vertical="center"/>
    </xf>
    <xf numFmtId="0" fontId="5" fillId="12" borderId="21" applyAlignment="1" pivotButton="0" quotePrefix="0" xfId="0">
      <alignment horizontal="center" vertical="center"/>
    </xf>
    <xf numFmtId="1" fontId="5" fillId="12" borderId="21" applyAlignment="1" pivotButton="0" quotePrefix="0" xfId="0">
      <alignment horizontal="center" vertical="center"/>
    </xf>
    <xf numFmtId="164" fontId="5" fillId="12" borderId="21" applyAlignment="1" pivotButton="0" quotePrefix="0" xfId="0">
      <alignment horizontal="center" vertical="center"/>
    </xf>
    <xf numFmtId="165" fontId="5" fillId="12" borderId="2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 shrinkToFit="1"/>
    </xf>
    <xf numFmtId="0" fontId="0" fillId="0" borderId="0" applyAlignment="1" pivotButton="0" quotePrefix="0" xfId="0">
      <alignment horizontal="center" vertical="center" shrinkToFit="1"/>
    </xf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0" fillId="0" borderId="24" pivotButton="0" quotePrefix="0" xfId="0"/>
    <xf numFmtId="0" fontId="0" fillId="0" borderId="38" pivotButton="0" quotePrefix="0" xfId="0"/>
    <xf numFmtId="0" fontId="0" fillId="0" borderId="29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26" pivotButton="0" quotePrefix="0" xfId="0"/>
    <xf numFmtId="0" fontId="0" fillId="0" borderId="37" pivotButton="0" quotePrefix="0" xfId="0"/>
    <xf numFmtId="0" fontId="6" fillId="8" borderId="0" applyAlignment="1" pivotButton="0" quotePrefix="0" xfId="0">
      <alignment horizontal="center" vertical="center" shrinkToFit="1"/>
    </xf>
    <xf numFmtId="166" fontId="5" fillId="10" borderId="12" applyAlignment="1" pivotButton="0" quotePrefix="0" xfId="0">
      <alignment horizontal="center" vertical="center"/>
    </xf>
    <xf numFmtId="0" fontId="5" fillId="9" borderId="39" applyAlignment="1" pivotButton="0" quotePrefix="0" xfId="0">
      <alignment horizontal="right" vertical="center"/>
    </xf>
    <xf numFmtId="0" fontId="0" fillId="0" borderId="40" pivotButton="0" quotePrefix="0" xfId="0"/>
    <xf numFmtId="0" fontId="0" fillId="0" borderId="41" pivotButton="0" quotePrefix="0" xfId="0"/>
    <xf numFmtId="0" fontId="0" fillId="0" borderId="19" pivotButton="0" quotePrefix="0" xfId="0"/>
    <xf numFmtId="0" fontId="5" fillId="9" borderId="42" applyAlignment="1" pivotButton="0" quotePrefix="0" xfId="0">
      <alignment horizontal="right" vertical="center"/>
    </xf>
    <xf numFmtId="0" fontId="0" fillId="0" borderId="43" pivotButton="0" quotePrefix="0" xfId="0"/>
    <xf numFmtId="0" fontId="0" fillId="0" borderId="44" pivotButton="0" quotePrefix="0" xfId="0"/>
    <xf numFmtId="0" fontId="0" fillId="0" borderId="14" pivotButton="0" quotePrefix="0" xfId="0"/>
    <xf numFmtId="0" fontId="5" fillId="9" borderId="45" applyAlignment="1" pivotButton="0" quotePrefix="0" xfId="0">
      <alignment horizontal="left" vertical="center"/>
    </xf>
    <xf numFmtId="0" fontId="0" fillId="0" borderId="46" pivotButton="0" quotePrefix="0" xfId="0"/>
    <xf numFmtId="0" fontId="0" fillId="0" borderId="47" pivotButton="0" quotePrefix="0" xfId="0"/>
    <xf numFmtId="166" fontId="3" fillId="8" borderId="13" applyAlignment="1" pivotButton="0" quotePrefix="0" xfId="0">
      <alignment horizontal="center" vertical="center"/>
    </xf>
    <xf numFmtId="166" fontId="3" fillId="8" borderId="11" applyAlignment="1" pivotButton="0" quotePrefix="0" xfId="0">
      <alignment horizontal="center" vertical="center"/>
    </xf>
    <xf numFmtId="167" fontId="3" fillId="8" borderId="11" applyAlignment="1" pivotButton="0" quotePrefix="0" xfId="0">
      <alignment horizontal="center" vertical="center"/>
    </xf>
    <xf numFmtId="168" fontId="3" fillId="8" borderId="11" applyAlignment="1" pivotButton="0" quotePrefix="0" xfId="0">
      <alignment horizontal="center" vertical="center"/>
    </xf>
    <xf numFmtId="166" fontId="3" fillId="8" borderId="18" applyAlignment="1" pivotButton="0" quotePrefix="0" xfId="0">
      <alignment horizontal="center" vertical="center"/>
    </xf>
    <xf numFmtId="166" fontId="3" fillId="8" borderId="20" applyAlignment="1" pivotButton="0" quotePrefix="0" xfId="0">
      <alignment horizontal="center" vertical="center"/>
    </xf>
    <xf numFmtId="166" fontId="3" fillId="8" borderId="16" applyAlignment="1" pivotButton="0" quotePrefix="0" xfId="0">
      <alignment horizontal="center" vertical="center"/>
    </xf>
    <xf numFmtId="166" fontId="3" fillId="11" borderId="11" applyAlignment="1" pivotButton="0" quotePrefix="0" xfId="0">
      <alignment horizontal="center" vertical="center"/>
    </xf>
    <xf numFmtId="166" fontId="5" fillId="11" borderId="16" applyAlignment="1" pivotButton="0" quotePrefix="0" xfId="0">
      <alignment horizontal="center" vertical="center"/>
    </xf>
    <xf numFmtId="166" fontId="5" fillId="8" borderId="21" applyAlignment="1" pivotButton="0" quotePrefix="0" xfId="0">
      <alignment horizontal="center" vertical="center"/>
    </xf>
    <xf numFmtId="166" fontId="5" fillId="12" borderId="21" applyAlignment="1" pivotButton="0" quotePrefix="0" xfId="0">
      <alignment horizontal="center" vertical="center"/>
    </xf>
    <xf numFmtId="169" fontId="5" fillId="10" borderId="12" applyAlignment="1" pivotButton="0" quotePrefix="0" xfId="0">
      <alignment horizontal="center" vertical="center"/>
    </xf>
    <xf numFmtId="0" fontId="5" fillId="9" borderId="48" applyAlignment="1" pivotButton="0" quotePrefix="0" xfId="0">
      <alignment horizontal="right" vertical="center"/>
    </xf>
    <xf numFmtId="0" fontId="0" fillId="0" borderId="22" pivotButton="0" quotePrefix="0" xfId="0"/>
    <xf numFmtId="0" fontId="0" fillId="0" borderId="25" pivotButton="0" quotePrefix="0" xfId="0"/>
    <xf numFmtId="0" fontId="5" fillId="9" borderId="53" applyAlignment="1" pivotButton="0" quotePrefix="0" xfId="0">
      <alignment horizontal="right" vertical="center"/>
    </xf>
    <xf numFmtId="0" fontId="0" fillId="0" borderId="50" pivotButton="0" quotePrefix="0" xfId="0"/>
    <xf numFmtId="0" fontId="5" fillId="9" borderId="49" applyAlignment="1" pivotButton="0" quotePrefix="0" xfId="0">
      <alignment horizontal="left" vertical="center"/>
    </xf>
    <xf numFmtId="0" fontId="0" fillId="0" borderId="51" pivotButton="0" quotePrefix="0" xfId="0"/>
    <xf numFmtId="0" fontId="0" fillId="0" borderId="52" pivotButton="0" quotePrefix="0" xfId="0"/>
    <xf numFmtId="0" fontId="0" fillId="0" borderId="28" pivotButton="0" quotePrefix="0" xfId="0"/>
    <xf numFmtId="169" fontId="3" fillId="8" borderId="11" applyAlignment="1" pivotButton="0" quotePrefix="0" xfId="0">
      <alignment horizontal="center" vertical="center"/>
    </xf>
    <xf numFmtId="0" fontId="0" fillId="0" borderId="54" pivotButton="0" quotePrefix="0" xfId="0"/>
    <xf numFmtId="0" fontId="0" fillId="0" borderId="55" pivotButton="0" quotePrefix="0" xfId="0"/>
    <xf numFmtId="0" fontId="0" fillId="0" borderId="56" pivotButton="0" quotePrefix="0" xfId="0"/>
    <xf numFmtId="0" fontId="0" fillId="0" borderId="57" pivotButton="0" quotePrefix="0" xfId="0"/>
    <xf numFmtId="168" fontId="3" fillId="8" borderId="58" applyAlignment="1" pivotButton="0" quotePrefix="0" xfId="0">
      <alignment horizontal="center" vertical="center"/>
    </xf>
    <xf numFmtId="0" fontId="0" fillId="0" borderId="60" pivotButton="0" quotePrefix="0" xfId="0"/>
    <xf numFmtId="168" fontId="3" fillId="8" borderId="13" applyAlignment="1" pivotButton="0" quotePrefix="0" xfId="0">
      <alignment horizontal="center" vertical="center"/>
    </xf>
    <xf numFmtId="168" fontId="3" fillId="11" borderId="11" applyAlignment="1" pivotButton="0" quotePrefix="0" xfId="0">
      <alignment horizontal="center" vertical="center"/>
    </xf>
    <xf numFmtId="168" fontId="5" fillId="8" borderId="21" applyAlignment="1" pivotButton="0" quotePrefix="0" xfId="0">
      <alignment horizontal="center" vertical="center"/>
    </xf>
    <xf numFmtId="0" fontId="4" fillId="8" borderId="64" applyAlignment="1" pivotButton="0" quotePrefix="0" xfId="0">
      <alignment horizontal="center" vertical="center"/>
    </xf>
    <xf numFmtId="0" fontId="0" fillId="0" borderId="62" applyAlignment="1" pivotButton="0" quotePrefix="0" xfId="0">
      <alignment horizontal="center" vertical="center"/>
    </xf>
    <xf numFmtId="0" fontId="0" fillId="0" borderId="65" applyAlignment="1" pivotButton="0" quotePrefix="0" xfId="0">
      <alignment horizontal="center" vertical="center"/>
    </xf>
    <xf numFmtId="0" fontId="0" fillId="0" borderId="64" applyAlignment="1" pivotButton="0" quotePrefix="0" xfId="0">
      <alignment horizontal="center" vertical="center"/>
    </xf>
    <xf numFmtId="0" fontId="4" fillId="8" borderId="62" applyAlignment="1" pivotButton="0" quotePrefix="0" xfId="0">
      <alignment horizontal="center" vertical="center"/>
    </xf>
    <xf numFmtId="0" fontId="4" fillId="8" borderId="65" applyAlignment="1" pivotButton="0" quotePrefix="0" xfId="0">
      <alignment horizontal="center" vertical="center"/>
    </xf>
    <xf numFmtId="0" fontId="4" fillId="8" borderId="70" applyAlignment="1" pivotButton="0" quotePrefix="0" xfId="0">
      <alignment horizontal="center" vertical="center"/>
    </xf>
    <xf numFmtId="0" fontId="0" fillId="0" borderId="70" applyAlignment="1" pivotButton="0" quotePrefix="0" xfId="0">
      <alignment horizontal="center" vertical="center"/>
    </xf>
    <xf numFmtId="0" fontId="5" fillId="9" borderId="66" applyAlignment="1" pivotButton="0" quotePrefix="0" xfId="0">
      <alignment horizontal="center" vertical="center"/>
    </xf>
    <xf numFmtId="0" fontId="0" fillId="0" borderId="61" applyAlignment="1" pivotButton="0" quotePrefix="0" xfId="0">
      <alignment horizontal="center" vertical="center"/>
    </xf>
    <xf numFmtId="0" fontId="0" fillId="0" borderId="67" applyAlignment="1" pivotButton="0" quotePrefix="0" xfId="0">
      <alignment horizontal="center" vertical="center"/>
    </xf>
    <xf numFmtId="0" fontId="5" fillId="10" borderId="66" applyAlignment="1" pivotButton="0" quotePrefix="0" xfId="0">
      <alignment horizontal="center" vertical="center"/>
    </xf>
    <xf numFmtId="0" fontId="5" fillId="9" borderId="67" applyAlignment="1" pivotButton="0" quotePrefix="0" xfId="0">
      <alignment horizontal="center" vertical="center"/>
    </xf>
    <xf numFmtId="0" fontId="5" fillId="9" borderId="61" applyAlignment="1" pivotButton="0" quotePrefix="0" xfId="0">
      <alignment horizontal="center" vertical="center"/>
    </xf>
    <xf numFmtId="0" fontId="5" fillId="9" borderId="71" applyAlignment="1" pivotButton="0" quotePrefix="0" xfId="0">
      <alignment horizontal="center" vertical="center"/>
    </xf>
    <xf numFmtId="166" fontId="5" fillId="10" borderId="71" applyAlignment="1" pivotButton="0" quotePrefix="0" xfId="0">
      <alignment horizontal="center" vertical="center"/>
    </xf>
    <xf numFmtId="169" fontId="5" fillId="10" borderId="66" applyAlignment="1" pivotButton="0" quotePrefix="0" xfId="0">
      <alignment horizontal="center" vertical="center"/>
    </xf>
    <xf numFmtId="166" fontId="5" fillId="10" borderId="66" applyAlignment="1" pivotButton="0" quotePrefix="0" xfId="0">
      <alignment horizontal="center" vertical="center"/>
    </xf>
    <xf numFmtId="0" fontId="5" fillId="9" borderId="66" applyAlignment="1" pivotButton="0" quotePrefix="0" xfId="0">
      <alignment horizontal="right" vertical="center"/>
    </xf>
    <xf numFmtId="0" fontId="5" fillId="9" borderId="68" applyAlignment="1" pivotButton="0" quotePrefix="0" xfId="0">
      <alignment horizontal="left" vertical="center"/>
    </xf>
    <xf numFmtId="0" fontId="0" fillId="0" borderId="63" applyAlignment="1" pivotButton="0" quotePrefix="0" xfId="0">
      <alignment horizontal="center" vertical="center"/>
    </xf>
    <xf numFmtId="0" fontId="0" fillId="0" borderId="69" applyAlignment="1" pivotButton="0" quotePrefix="0" xfId="0">
      <alignment horizontal="center" vertical="center"/>
    </xf>
    <xf numFmtId="0" fontId="5" fillId="9" borderId="68" applyAlignment="1" pivotButton="0" quotePrefix="0" xfId="0">
      <alignment horizontal="center" vertical="center"/>
    </xf>
    <xf numFmtId="0" fontId="5" fillId="9" borderId="69" applyAlignment="1" pivotButton="0" quotePrefix="0" xfId="0">
      <alignment horizontal="center" vertical="center"/>
    </xf>
    <xf numFmtId="0" fontId="5" fillId="9" borderId="63" applyAlignment="1" pivotButton="0" quotePrefix="0" xfId="0">
      <alignment horizontal="center" vertical="center"/>
    </xf>
    <xf numFmtId="0" fontId="5" fillId="9" borderId="72" applyAlignment="1" pivotButton="0" quotePrefix="0" xfId="0">
      <alignment horizontal="center" vertical="center"/>
    </xf>
    <xf numFmtId="0" fontId="5" fillId="8" borderId="66" applyAlignment="1" pivotButton="0" quotePrefix="0" xfId="0">
      <alignment horizontal="center" vertical="center"/>
    </xf>
    <xf numFmtId="0" fontId="5" fillId="8" borderId="67" applyAlignment="1" pivotButton="0" quotePrefix="0" xfId="0">
      <alignment horizontal="left" vertical="center"/>
    </xf>
    <xf numFmtId="1" fontId="3" fillId="8" borderId="66" applyAlignment="1" pivotButton="0" quotePrefix="0" xfId="0">
      <alignment horizontal="center" vertical="center"/>
    </xf>
    <xf numFmtId="1" fontId="3" fillId="8" borderId="67" applyAlignment="1" pivotButton="0" quotePrefix="0" xfId="0">
      <alignment horizontal="center" vertical="center"/>
    </xf>
    <xf numFmtId="1" fontId="3" fillId="8" borderId="61" applyAlignment="1" pivotButton="0" quotePrefix="0" xfId="0">
      <alignment horizontal="center" vertical="center"/>
    </xf>
    <xf numFmtId="1" fontId="3" fillId="8" borderId="71" applyAlignment="1" pivotButton="0" quotePrefix="0" xfId="0">
      <alignment horizontal="center" vertical="center"/>
    </xf>
    <xf numFmtId="166" fontId="3" fillId="8" borderId="66" applyAlignment="1" pivotButton="0" quotePrefix="0" xfId="0">
      <alignment horizontal="center" vertical="center"/>
    </xf>
    <xf numFmtId="166" fontId="3" fillId="8" borderId="67" applyAlignment="1" pivotButton="0" quotePrefix="0" xfId="0">
      <alignment horizontal="center" vertical="center"/>
    </xf>
    <xf numFmtId="166" fontId="3" fillId="8" borderId="71" applyAlignment="1" pivotButton="0" quotePrefix="0" xfId="0">
      <alignment horizontal="center" vertical="center"/>
    </xf>
    <xf numFmtId="169" fontId="3" fillId="8" borderId="66" applyAlignment="1" pivotButton="0" quotePrefix="0" xfId="0">
      <alignment horizontal="center" vertical="center"/>
    </xf>
    <xf numFmtId="169" fontId="3" fillId="8" borderId="67" applyAlignment="1" pivotButton="0" quotePrefix="0" xfId="0">
      <alignment horizontal="center" vertical="center"/>
    </xf>
    <xf numFmtId="165" fontId="3" fillId="8" borderId="67" applyAlignment="1" pivotButton="0" quotePrefix="0" xfId="0">
      <alignment horizontal="center" vertical="center"/>
    </xf>
    <xf numFmtId="0" fontId="0" fillId="0" borderId="66" applyAlignment="1" pivotButton="0" quotePrefix="0" xfId="0">
      <alignment horizontal="center" vertical="center"/>
    </xf>
    <xf numFmtId="164" fontId="3" fillId="8" borderId="66" applyAlignment="1" pivotButton="0" quotePrefix="0" xfId="0">
      <alignment horizontal="center" vertical="center"/>
    </xf>
    <xf numFmtId="164" fontId="3" fillId="8" borderId="67" applyAlignment="1" pivotButton="0" quotePrefix="0" xfId="0">
      <alignment horizontal="center" vertical="center"/>
    </xf>
    <xf numFmtId="0" fontId="5" fillId="8" borderId="61" applyAlignment="1" pivotButton="0" quotePrefix="0" xfId="0">
      <alignment horizontal="center" vertical="center"/>
    </xf>
    <xf numFmtId="168" fontId="3" fillId="8" borderId="66" applyAlignment="1" pivotButton="0" quotePrefix="0" xfId="0">
      <alignment horizontal="center" vertical="center"/>
    </xf>
    <xf numFmtId="168" fontId="3" fillId="8" borderId="61" applyAlignment="1" pivotButton="0" quotePrefix="0" xfId="0">
      <alignment horizontal="center" vertical="center"/>
    </xf>
    <xf numFmtId="168" fontId="3" fillId="8" borderId="67" applyAlignment="1" pivotButton="0" quotePrefix="0" xfId="0">
      <alignment horizontal="center" vertical="center"/>
    </xf>
    <xf numFmtId="0" fontId="5" fillId="8" borderId="68" applyAlignment="1" pivotButton="0" quotePrefix="0" xfId="0">
      <alignment horizontal="center" vertical="center"/>
    </xf>
    <xf numFmtId="0" fontId="5" fillId="8" borderId="69" applyAlignment="1" pivotButton="0" quotePrefix="0" xfId="0">
      <alignment horizontal="left" vertical="center"/>
    </xf>
    <xf numFmtId="166" fontId="3" fillId="8" borderId="68" applyAlignment="1" pivotButton="0" quotePrefix="0" xfId="0">
      <alignment horizontal="center" vertical="center"/>
    </xf>
    <xf numFmtId="166" fontId="3" fillId="8" borderId="69" applyAlignment="1" pivotButton="0" quotePrefix="0" xfId="0">
      <alignment horizontal="center" vertical="center"/>
    </xf>
    <xf numFmtId="166" fontId="3" fillId="8" borderId="63" applyAlignment="1" pivotButton="0" quotePrefix="0" xfId="0">
      <alignment horizontal="center" vertical="center"/>
    </xf>
    <xf numFmtId="1" fontId="3" fillId="8" borderId="72" applyAlignment="1" pivotButton="0" quotePrefix="0" xfId="0">
      <alignment horizontal="center" vertical="center"/>
    </xf>
    <xf numFmtId="166" fontId="3" fillId="8" borderId="72" applyAlignment="1" pivotButton="0" quotePrefix="0" xfId="0">
      <alignment horizontal="center" vertical="center"/>
    </xf>
    <xf numFmtId="1" fontId="3" fillId="8" borderId="68" applyAlignment="1" pivotButton="0" quotePrefix="0" xfId="0">
      <alignment horizontal="center" vertical="center"/>
    </xf>
    <xf numFmtId="1" fontId="3" fillId="8" borderId="69" applyAlignment="1" pivotButton="0" quotePrefix="0" xfId="0">
      <alignment horizontal="center" vertical="center"/>
    </xf>
    <xf numFmtId="164" fontId="3" fillId="8" borderId="68" applyAlignment="1" pivotButton="0" quotePrefix="0" xfId="0">
      <alignment horizontal="center" vertical="center"/>
    </xf>
    <xf numFmtId="164" fontId="3" fillId="8" borderId="69" applyAlignment="1" pivotButton="0" quotePrefix="0" xfId="0">
      <alignment horizontal="center" vertical="center"/>
    </xf>
    <xf numFmtId="165" fontId="3" fillId="8" borderId="69" applyAlignment="1" pivotButton="0" quotePrefix="0" xfId="0">
      <alignment horizontal="center" vertical="center"/>
    </xf>
    <xf numFmtId="0" fontId="5" fillId="11" borderId="66" applyAlignment="1" pivotButton="0" quotePrefix="0" xfId="0">
      <alignment horizontal="center" vertical="center"/>
    </xf>
    <xf numFmtId="0" fontId="5" fillId="11" borderId="67" applyAlignment="1" pivotButton="0" quotePrefix="0" xfId="0">
      <alignment horizontal="left" vertical="center"/>
    </xf>
    <xf numFmtId="166" fontId="3" fillId="11" borderId="66" applyAlignment="1" pivotButton="0" quotePrefix="0" xfId="0">
      <alignment horizontal="center" vertical="center"/>
    </xf>
    <xf numFmtId="166" fontId="3" fillId="11" borderId="67" applyAlignment="1" pivotButton="0" quotePrefix="0" xfId="0">
      <alignment horizontal="center" vertical="center"/>
    </xf>
    <xf numFmtId="166" fontId="3" fillId="11" borderId="61" applyAlignment="1" pivotButton="0" quotePrefix="0" xfId="0">
      <alignment horizontal="center" vertical="center"/>
    </xf>
    <xf numFmtId="1" fontId="3" fillId="11" borderId="71" applyAlignment="1" pivotButton="0" quotePrefix="0" xfId="0">
      <alignment horizontal="center" vertical="center"/>
    </xf>
    <xf numFmtId="166" fontId="3" fillId="11" borderId="71" applyAlignment="1" pivotButton="0" quotePrefix="0" xfId="0">
      <alignment horizontal="center" vertical="center"/>
    </xf>
    <xf numFmtId="1" fontId="3" fillId="11" borderId="66" applyAlignment="1" pivotButton="0" quotePrefix="0" xfId="0">
      <alignment horizontal="center" vertical="center"/>
    </xf>
    <xf numFmtId="1" fontId="3" fillId="11" borderId="67" applyAlignment="1" pivotButton="0" quotePrefix="0" xfId="0">
      <alignment horizontal="center" vertical="center"/>
    </xf>
    <xf numFmtId="164" fontId="3" fillId="11" borderId="66" applyAlignment="1" pivotButton="0" quotePrefix="0" xfId="0">
      <alignment horizontal="center" vertical="center"/>
    </xf>
    <xf numFmtId="164" fontId="3" fillId="11" borderId="67" applyAlignment="1" pivotButton="0" quotePrefix="0" xfId="0">
      <alignment horizontal="center" vertical="center"/>
    </xf>
    <xf numFmtId="165" fontId="3" fillId="11" borderId="67" applyAlignment="1" pivotButton="0" quotePrefix="0" xfId="0">
      <alignment horizontal="center" vertical="center"/>
    </xf>
    <xf numFmtId="0" fontId="3" fillId="11" borderId="61" applyAlignment="1" pivotButton="0" quotePrefix="0" xfId="0">
      <alignment horizontal="center" vertical="center"/>
    </xf>
    <xf numFmtId="168" fontId="3" fillId="11" borderId="66" applyAlignment="1" pivotButton="0" quotePrefix="0" xfId="0">
      <alignment horizontal="center" vertical="center"/>
    </xf>
    <xf numFmtId="168" fontId="3" fillId="11" borderId="61" applyAlignment="1" pivotButton="0" quotePrefix="0" xfId="0">
      <alignment horizontal="center" vertical="center"/>
    </xf>
    <xf numFmtId="0" fontId="5" fillId="11" borderId="68" applyAlignment="1" pivotButton="0" quotePrefix="0" xfId="0">
      <alignment horizontal="center" vertical="center"/>
    </xf>
    <xf numFmtId="0" fontId="5" fillId="11" borderId="69" applyAlignment="1" pivotButton="0" quotePrefix="0" xfId="0">
      <alignment horizontal="left" vertical="center"/>
    </xf>
    <xf numFmtId="166" fontId="5" fillId="11" borderId="68" applyAlignment="1" pivotButton="0" quotePrefix="0" xfId="0">
      <alignment horizontal="center" vertical="center"/>
    </xf>
    <xf numFmtId="166" fontId="5" fillId="11" borderId="69" applyAlignment="1" pivotButton="0" quotePrefix="0" xfId="0">
      <alignment horizontal="center" vertical="center"/>
    </xf>
    <xf numFmtId="166" fontId="5" fillId="11" borderId="63" applyAlignment="1" pivotButton="0" quotePrefix="0" xfId="0">
      <alignment horizontal="center" vertical="center"/>
    </xf>
    <xf numFmtId="1" fontId="5" fillId="11" borderId="72" applyAlignment="1" pivotButton="0" quotePrefix="0" xfId="0">
      <alignment horizontal="center" vertical="center"/>
    </xf>
    <xf numFmtId="166" fontId="5" fillId="11" borderId="72" applyAlignment="1" pivotButton="0" quotePrefix="0" xfId="0">
      <alignment horizontal="center" vertical="center"/>
    </xf>
    <xf numFmtId="1" fontId="5" fillId="11" borderId="68" applyAlignment="1" pivotButton="0" quotePrefix="0" xfId="0">
      <alignment horizontal="center" vertical="center"/>
    </xf>
    <xf numFmtId="1" fontId="5" fillId="11" borderId="69" applyAlignment="1" pivotButton="0" quotePrefix="0" xfId="0">
      <alignment horizontal="center" vertical="center"/>
    </xf>
    <xf numFmtId="164" fontId="5" fillId="11" borderId="68" applyAlignment="1" pivotButton="0" quotePrefix="0" xfId="0">
      <alignment horizontal="center" vertical="center"/>
    </xf>
    <xf numFmtId="164" fontId="5" fillId="11" borderId="69" applyAlignment="1" pivotButton="0" quotePrefix="0" xfId="0">
      <alignment horizontal="center" vertical="center"/>
    </xf>
    <xf numFmtId="165" fontId="5" fillId="11" borderId="69" applyAlignment="1" pivotButton="0" quotePrefix="0" xfId="0">
      <alignment horizontal="center" vertical="center"/>
    </xf>
    <xf numFmtId="0" fontId="5" fillId="8" borderId="64" applyAlignment="1" pivotButton="0" quotePrefix="0" xfId="0">
      <alignment horizontal="center" vertical="center"/>
    </xf>
    <xf numFmtId="0" fontId="5" fillId="8" borderId="62" applyAlignment="1" pivotButton="0" quotePrefix="0" xfId="0">
      <alignment horizontal="center" vertical="center"/>
    </xf>
    <xf numFmtId="0" fontId="5" fillId="8" borderId="65" applyAlignment="1" pivotButton="0" quotePrefix="0" xfId="0">
      <alignment horizontal="left" vertical="center"/>
    </xf>
    <xf numFmtId="166" fontId="5" fillId="8" borderId="64" applyAlignment="1" pivotButton="0" quotePrefix="0" xfId="0">
      <alignment horizontal="center" vertical="center"/>
    </xf>
    <xf numFmtId="166" fontId="5" fillId="8" borderId="62" applyAlignment="1" pivotButton="0" quotePrefix="0" xfId="0">
      <alignment horizontal="center" vertical="center"/>
    </xf>
    <xf numFmtId="1" fontId="5" fillId="8" borderId="70" applyAlignment="1" pivotButton="0" quotePrefix="0" xfId="0">
      <alignment horizontal="center" vertical="center"/>
    </xf>
    <xf numFmtId="1" fontId="5" fillId="8" borderId="64" applyAlignment="1" pivotButton="0" quotePrefix="0" xfId="0">
      <alignment horizontal="center" vertical="center"/>
    </xf>
    <xf numFmtId="1" fontId="5" fillId="8" borderId="65" applyAlignment="1" pivotButton="0" quotePrefix="0" xfId="0">
      <alignment horizontal="center" vertical="center"/>
    </xf>
    <xf numFmtId="164" fontId="5" fillId="8" borderId="64" applyAlignment="1" pivotButton="0" quotePrefix="0" xfId="0">
      <alignment horizontal="center" vertical="center"/>
    </xf>
    <xf numFmtId="164" fontId="5" fillId="8" borderId="65" applyAlignment="1" pivotButton="0" quotePrefix="0" xfId="0">
      <alignment horizontal="center" vertical="center"/>
    </xf>
    <xf numFmtId="165" fontId="5" fillId="8" borderId="65" applyAlignment="1" pivotButton="0" quotePrefix="0" xfId="0">
      <alignment horizontal="center" vertical="center"/>
    </xf>
    <xf numFmtId="0" fontId="5" fillId="8" borderId="63" applyAlignment="1" pivotButton="0" quotePrefix="0" xfId="0">
      <alignment horizontal="center" vertical="center"/>
    </xf>
    <xf numFmtId="168" fontId="5" fillId="8" borderId="68" applyAlignment="1" pivotButton="0" quotePrefix="0" xfId="0">
      <alignment horizontal="center" vertical="center"/>
    </xf>
    <xf numFmtId="168" fontId="5" fillId="8" borderId="63" applyAlignment="1" pivotButton="0" quotePrefix="0" xfId="0">
      <alignment horizontal="center" vertical="center"/>
    </xf>
    <xf numFmtId="1" fontId="5" fillId="8" borderId="72" applyAlignment="1" pivotButton="0" quotePrefix="0" xfId="0">
      <alignment horizontal="center" vertical="center"/>
    </xf>
    <xf numFmtId="1" fontId="5" fillId="8" borderId="68" applyAlignment="1" pivotButton="0" quotePrefix="0" xfId="0">
      <alignment horizontal="center" vertical="center"/>
    </xf>
    <xf numFmtId="1" fontId="5" fillId="8" borderId="69" applyAlignment="1" pivotButton="0" quotePrefix="0" xfId="0">
      <alignment horizontal="center" vertical="center"/>
    </xf>
    <xf numFmtId="164" fontId="5" fillId="8" borderId="68" applyAlignment="1" pivotButton="0" quotePrefix="0" xfId="0">
      <alignment horizontal="center" vertical="center"/>
    </xf>
    <xf numFmtId="164" fontId="5" fillId="8" borderId="69" applyAlignment="1" pivotButton="0" quotePrefix="0" xfId="0">
      <alignment horizontal="center" vertical="center"/>
    </xf>
    <xf numFmtId="165" fontId="5" fillId="8" borderId="69" applyAlignment="1" pivotButton="0" quotePrefix="0" xfId="0">
      <alignment horizontal="center" vertical="center"/>
    </xf>
    <xf numFmtId="0" fontId="3" fillId="8" borderId="66" applyAlignment="1" pivotButton="0" quotePrefix="0" xfId="0">
      <alignment horizontal="center" vertical="center"/>
    </xf>
    <xf numFmtId="0" fontId="3" fillId="8" borderId="61" applyAlignment="1" pivotButton="0" quotePrefix="0" xfId="0">
      <alignment horizontal="center" vertical="center"/>
    </xf>
    <xf numFmtId="0" fontId="3" fillId="8" borderId="67" applyAlignment="1" pivotButton="0" quotePrefix="0" xfId="0">
      <alignment horizontal="left" vertical="center"/>
    </xf>
    <xf numFmtId="166" fontId="5" fillId="8" borderId="66" applyAlignment="1" pivotButton="0" quotePrefix="0" xfId="0">
      <alignment horizontal="center" vertical="center"/>
    </xf>
    <xf numFmtId="166" fontId="5" fillId="8" borderId="61" applyAlignment="1" pivotButton="0" quotePrefix="0" xfId="0">
      <alignment horizontal="center" vertical="center"/>
    </xf>
    <xf numFmtId="1" fontId="5" fillId="8" borderId="71" applyAlignment="1" pivotButton="0" quotePrefix="0" xfId="0">
      <alignment horizontal="center" vertical="center"/>
    </xf>
    <xf numFmtId="1" fontId="5" fillId="8" borderId="66" applyAlignment="1" pivotButton="0" quotePrefix="0" xfId="0">
      <alignment horizontal="center" vertical="center"/>
    </xf>
    <xf numFmtId="1" fontId="5" fillId="8" borderId="67" applyAlignment="1" pivotButton="0" quotePrefix="0" xfId="0">
      <alignment horizontal="center" vertical="center"/>
    </xf>
    <xf numFmtId="164" fontId="5" fillId="8" borderId="66" applyAlignment="1" pivotButton="0" quotePrefix="0" xfId="0">
      <alignment horizontal="center" vertical="center"/>
    </xf>
    <xf numFmtId="164" fontId="5" fillId="8" borderId="67" applyAlignment="1" pivotButton="0" quotePrefix="0" xfId="0">
      <alignment horizontal="center" vertical="center"/>
    </xf>
    <xf numFmtId="165" fontId="5" fillId="8" borderId="67" applyAlignment="1" pivotButton="0" quotePrefix="0" xfId="0">
      <alignment horizontal="center" vertical="center"/>
    </xf>
    <xf numFmtId="0" fontId="5" fillId="12" borderId="66" applyAlignment="1" pivotButton="0" quotePrefix="0" xfId="0">
      <alignment horizontal="center" vertical="center"/>
    </xf>
    <xf numFmtId="166" fontId="5" fillId="12" borderId="66" applyAlignment="1" pivotButton="0" quotePrefix="0" xfId="0">
      <alignment horizontal="center" vertical="center"/>
    </xf>
    <xf numFmtId="166" fontId="5" fillId="12" borderId="61" applyAlignment="1" pivotButton="0" quotePrefix="0" xfId="0">
      <alignment horizontal="center" vertical="center"/>
    </xf>
    <xf numFmtId="1" fontId="5" fillId="12" borderId="71" applyAlignment="1" pivotButton="0" quotePrefix="0" xfId="0">
      <alignment horizontal="center" vertical="center"/>
    </xf>
    <xf numFmtId="1" fontId="5" fillId="12" borderId="66" applyAlignment="1" pivotButton="0" quotePrefix="0" xfId="0">
      <alignment horizontal="center" vertical="center"/>
    </xf>
    <xf numFmtId="1" fontId="5" fillId="12" borderId="67" applyAlignment="1" pivotButton="0" quotePrefix="0" xfId="0">
      <alignment horizontal="center" vertical="center"/>
    </xf>
    <xf numFmtId="164" fontId="5" fillId="12" borderId="66" applyAlignment="1" pivotButton="0" quotePrefix="0" xfId="0">
      <alignment horizontal="center" vertical="center"/>
    </xf>
    <xf numFmtId="164" fontId="5" fillId="12" borderId="67" applyAlignment="1" pivotButton="0" quotePrefix="0" xfId="0">
      <alignment horizontal="center" vertical="center"/>
    </xf>
    <xf numFmtId="165" fontId="5" fillId="12" borderId="67" applyAlignment="1" pivotButton="0" quotePrefix="0" xfId="0">
      <alignment horizontal="center" vertical="center"/>
    </xf>
    <xf numFmtId="166" fontId="5" fillId="8" borderId="68" applyAlignment="1" pivotButton="0" quotePrefix="0" xfId="0">
      <alignment horizontal="center" vertical="center"/>
    </xf>
    <xf numFmtId="166" fontId="5" fillId="8" borderId="63" applyAlignment="1" pivotButton="0" quotePrefix="0" xfId="0">
      <alignment horizontal="center" vertical="center"/>
    </xf>
    <xf numFmtId="0" fontId="6" fillId="8" borderId="62" applyAlignment="1" pivotButton="0" quotePrefix="0" xfId="0">
      <alignment horizontal="center" vertical="center"/>
    </xf>
    <xf numFmtId="0" fontId="0" fillId="0" borderId="85" pivotButton="0" quotePrefix="0" xfId="0"/>
    <xf numFmtId="0" fontId="0" fillId="0" borderId="78" pivotButton="0" quotePrefix="0" xfId="0"/>
    <xf numFmtId="0" fontId="0" fillId="0" borderId="86" pivotButton="0" quotePrefix="0" xfId="0"/>
    <xf numFmtId="0" fontId="0" fillId="0" borderId="83" pivotButton="0" quotePrefix="0" xfId="0"/>
    <xf numFmtId="0" fontId="0" fillId="0" borderId="75" pivotButton="0" quotePrefix="0" xfId="0"/>
    <xf numFmtId="0" fontId="0" fillId="0" borderId="84" pivotButton="0" quotePrefix="0" xfId="0"/>
    <xf numFmtId="0" fontId="0" fillId="0" borderId="76" pivotButton="0" quotePrefix="0" xfId="0"/>
    <xf numFmtId="0" fontId="0" fillId="0" borderId="74" pivotButton="0" quotePrefix="0" xfId="0"/>
    <xf numFmtId="0" fontId="0" fillId="0" borderId="79" pivotButton="0" quotePrefix="0" xfId="0"/>
    <xf numFmtId="0" fontId="0" fillId="0" borderId="80" pivotButton="0" quotePrefix="0" xfId="0"/>
    <xf numFmtId="0" fontId="0" fillId="0" borderId="81" pivotButton="0" quotePrefix="0" xfId="0"/>
    <xf numFmtId="0" fontId="0" fillId="0" borderId="82" pivotButton="0" quotePrefix="0" xfId="0"/>
    <xf numFmtId="0" fontId="4" fillId="8" borderId="39" applyAlignment="1" pivotButton="0" quotePrefix="0" xfId="0">
      <alignment horizontal="center" vertical="center"/>
    </xf>
    <xf numFmtId="0" fontId="0" fillId="0" borderId="41" applyAlignment="1" pivotButton="0" quotePrefix="0" xfId="0">
      <alignment horizontal="center" vertical="center"/>
    </xf>
    <xf numFmtId="0" fontId="0" fillId="0" borderId="87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center"/>
    </xf>
    <xf numFmtId="0" fontId="4" fillId="8" borderId="87" applyAlignment="1" pivotButton="0" quotePrefix="0" xfId="0">
      <alignment horizontal="center" vertical="center"/>
    </xf>
    <xf numFmtId="0" fontId="4" fillId="8" borderId="40" applyAlignment="1" pivotButton="0" quotePrefix="0" xfId="0">
      <alignment horizontal="center" vertical="center"/>
    </xf>
    <xf numFmtId="0" fontId="4" fillId="8" borderId="48" applyAlignment="1" pivotButton="0" quotePrefix="0" xfId="0">
      <alignment horizontal="center" vertical="center"/>
    </xf>
    <xf numFmtId="0" fontId="0" fillId="0" borderId="48" applyAlignment="1" pivotButton="0" quotePrefix="0" xfId="0">
      <alignment horizontal="center" vertical="center"/>
    </xf>
    <xf numFmtId="0" fontId="0" fillId="0" borderId="39" applyAlignment="1" pivotButton="0" quotePrefix="0" xfId="0">
      <alignment horizontal="center" vertical="center"/>
    </xf>
    <xf numFmtId="0" fontId="5" fillId="9" borderId="42" applyAlignment="1" pivotButton="0" quotePrefix="0" xfId="0">
      <alignment horizontal="center" vertical="center"/>
    </xf>
    <xf numFmtId="0" fontId="0" fillId="0" borderId="44" applyAlignment="1" pivotButton="0" quotePrefix="0" xfId="0">
      <alignment horizontal="center" vertical="center"/>
    </xf>
    <xf numFmtId="0" fontId="5" fillId="10" borderId="88" applyAlignment="1" pivotButton="0" quotePrefix="0" xfId="0">
      <alignment horizontal="center" vertical="center"/>
    </xf>
    <xf numFmtId="0" fontId="0" fillId="0" borderId="43" applyAlignment="1" pivotButton="0" quotePrefix="0" xfId="0">
      <alignment horizontal="center" vertical="center"/>
    </xf>
    <xf numFmtId="0" fontId="0" fillId="0" borderId="88" applyAlignment="1" pivotButton="0" quotePrefix="0" xfId="0">
      <alignment horizontal="center" vertical="center"/>
    </xf>
    <xf numFmtId="0" fontId="5" fillId="9" borderId="43" applyAlignment="1" pivotButton="0" quotePrefix="0" xfId="0">
      <alignment horizontal="center" vertical="center"/>
    </xf>
    <xf numFmtId="0" fontId="5" fillId="9" borderId="88" applyAlignment="1" pivotButton="0" quotePrefix="0" xfId="0">
      <alignment horizontal="center" vertical="center"/>
    </xf>
    <xf numFmtId="0" fontId="5" fillId="9" borderId="53" applyAlignment="1" pivotButton="0" quotePrefix="0" xfId="0">
      <alignment horizontal="center" vertical="center"/>
    </xf>
    <xf numFmtId="166" fontId="5" fillId="10" borderId="53" applyAlignment="1" pivotButton="0" quotePrefix="0" xfId="0">
      <alignment horizontal="center" vertical="center"/>
    </xf>
    <xf numFmtId="0" fontId="5" fillId="9" borderId="44" applyAlignment="1" pivotButton="0" quotePrefix="0" xfId="0">
      <alignment horizontal="center" vertical="center"/>
    </xf>
    <xf numFmtId="169" fontId="5" fillId="10" borderId="42" applyAlignment="1" pivotButton="0" quotePrefix="0" xfId="0">
      <alignment horizontal="center" vertical="center"/>
    </xf>
    <xf numFmtId="166" fontId="5" fillId="10" borderId="42" applyAlignment="1" pivotButton="0" quotePrefix="0" xfId="0">
      <alignment horizontal="center" vertical="center"/>
    </xf>
    <xf numFmtId="0" fontId="5" fillId="9" borderId="87" applyAlignment="1" pivotButton="0" quotePrefix="0" xfId="0">
      <alignment horizontal="center" vertical="center"/>
    </xf>
    <xf numFmtId="0" fontId="5" fillId="9" borderId="48" applyAlignment="1" pivotButton="0" quotePrefix="0" xfId="0">
      <alignment horizontal="center" vertical="center"/>
    </xf>
    <xf numFmtId="0" fontId="5" fillId="9" borderId="39" applyAlignment="1" pivotButton="0" quotePrefix="0" xfId="0">
      <alignment horizontal="center" vertical="center"/>
    </xf>
    <xf numFmtId="0" fontId="0" fillId="0" borderId="47" applyAlignment="1" pivotButton="0" quotePrefix="0" xfId="0">
      <alignment horizontal="center" vertical="center"/>
    </xf>
    <xf numFmtId="0" fontId="5" fillId="9" borderId="89" applyAlignment="1" pivotButton="0" quotePrefix="0" xfId="0">
      <alignment horizontal="center" vertical="center"/>
    </xf>
    <xf numFmtId="0" fontId="5" fillId="9" borderId="46" applyAlignment="1" pivotButton="0" quotePrefix="0" xfId="0">
      <alignment horizontal="center" vertical="center"/>
    </xf>
    <xf numFmtId="0" fontId="5" fillId="9" borderId="49" applyAlignment="1" pivotButton="0" quotePrefix="0" xfId="0">
      <alignment horizontal="center" vertical="center"/>
    </xf>
    <xf numFmtId="0" fontId="5" fillId="9" borderId="45" applyAlignment="1" pivotButton="0" quotePrefix="0" xfId="0">
      <alignment horizontal="center" vertical="center"/>
    </xf>
    <xf numFmtId="0" fontId="5" fillId="9" borderId="47" applyAlignment="1" pivotButton="0" quotePrefix="0" xfId="0">
      <alignment horizontal="center" vertical="center"/>
    </xf>
    <xf numFmtId="0" fontId="5" fillId="8" borderId="42" applyAlignment="1" pivotButton="0" quotePrefix="0" xfId="0">
      <alignment horizontal="center" vertical="center"/>
    </xf>
    <xf numFmtId="0" fontId="5" fillId="8" borderId="44" applyAlignment="1" pivotButton="0" quotePrefix="0" xfId="0">
      <alignment horizontal="left" vertical="center"/>
    </xf>
    <xf numFmtId="1" fontId="3" fillId="8" borderId="88" applyAlignment="1" pivotButton="0" quotePrefix="0" xfId="0">
      <alignment horizontal="center" vertical="center"/>
    </xf>
    <xf numFmtId="1" fontId="3" fillId="8" borderId="43" applyAlignment="1" pivotButton="0" quotePrefix="0" xfId="0">
      <alignment horizontal="center" vertical="center"/>
    </xf>
    <xf numFmtId="1" fontId="3" fillId="8" borderId="53" applyAlignment="1" pivotButton="0" quotePrefix="0" xfId="0">
      <alignment horizontal="center" vertical="center"/>
    </xf>
    <xf numFmtId="166" fontId="3" fillId="8" borderId="42" applyAlignment="1" pivotButton="0" quotePrefix="0" xfId="0">
      <alignment horizontal="center" vertical="center"/>
    </xf>
    <xf numFmtId="166" fontId="3" fillId="8" borderId="44" applyAlignment="1" pivotButton="0" quotePrefix="0" xfId="0">
      <alignment horizontal="center" vertical="center"/>
    </xf>
    <xf numFmtId="166" fontId="3" fillId="8" borderId="53" applyAlignment="1" pivotButton="0" quotePrefix="0" xfId="0">
      <alignment horizontal="center" vertical="center"/>
    </xf>
    <xf numFmtId="169" fontId="3" fillId="8" borderId="42" applyAlignment="1" pivotButton="0" quotePrefix="0" xfId="0">
      <alignment horizontal="center" vertical="center"/>
    </xf>
    <xf numFmtId="169" fontId="3" fillId="8" borderId="44" applyAlignment="1" pivotButton="0" quotePrefix="0" xfId="0">
      <alignment horizontal="center" vertical="center"/>
    </xf>
    <xf numFmtId="1" fontId="3" fillId="8" borderId="42" applyAlignment="1" pivotButton="0" quotePrefix="0" xfId="0">
      <alignment horizontal="center" vertical="center"/>
    </xf>
    <xf numFmtId="165" fontId="3" fillId="8" borderId="44" applyAlignment="1" pivotButton="0" quotePrefix="0" xfId="0">
      <alignment horizontal="center" vertical="center"/>
    </xf>
    <xf numFmtId="0" fontId="0" fillId="0" borderId="42" applyAlignment="1" pivotButton="0" quotePrefix="0" xfId="0">
      <alignment horizontal="center" vertical="center"/>
    </xf>
    <xf numFmtId="1" fontId="3" fillId="8" borderId="44" applyAlignment="1" pivotButton="0" quotePrefix="0" xfId="0">
      <alignment horizontal="center" vertical="center"/>
    </xf>
    <xf numFmtId="164" fontId="3" fillId="8" borderId="42" applyAlignment="1" pivotButton="0" quotePrefix="0" xfId="0">
      <alignment horizontal="center" vertical="center"/>
    </xf>
    <xf numFmtId="164" fontId="3" fillId="8" borderId="44" applyAlignment="1" pivotButton="0" quotePrefix="0" xfId="0">
      <alignment horizontal="center" vertical="center"/>
    </xf>
    <xf numFmtId="0" fontId="5" fillId="8" borderId="44" applyAlignment="1" pivotButton="0" quotePrefix="0" xfId="0">
      <alignment horizontal="center" vertical="center"/>
    </xf>
    <xf numFmtId="168" fontId="3" fillId="8" borderId="90" applyAlignment="1" pivotButton="0" quotePrefix="0" xfId="0">
      <alignment horizontal="center" vertical="center"/>
    </xf>
    <xf numFmtId="0" fontId="0" fillId="0" borderId="91" applyAlignment="1" pivotButton="0" quotePrefix="0" xfId="0">
      <alignment horizontal="center" vertical="center"/>
    </xf>
    <xf numFmtId="168" fontId="3" fillId="8" borderId="92" applyAlignment="1" pivotButton="0" quotePrefix="0" xfId="0">
      <alignment horizontal="center" vertical="center"/>
    </xf>
    <xf numFmtId="0" fontId="0" fillId="0" borderId="93" applyAlignment="1" pivotButton="0" quotePrefix="0" xfId="0">
      <alignment horizontal="center" vertical="center"/>
    </xf>
    <xf numFmtId="168" fontId="3" fillId="8" borderId="93" applyAlignment="1" pivotButton="0" quotePrefix="0" xfId="0">
      <alignment horizontal="center" vertical="center"/>
    </xf>
    <xf numFmtId="169" fontId="3" fillId="8" borderId="92" applyAlignment="1" pivotButton="0" quotePrefix="0" xfId="0">
      <alignment horizontal="center" vertical="center"/>
    </xf>
    <xf numFmtId="169" fontId="3" fillId="8" borderId="93" applyAlignment="1" pivotButton="0" quotePrefix="0" xfId="0">
      <alignment horizontal="center" vertical="center"/>
    </xf>
    <xf numFmtId="1" fontId="3" fillId="8" borderId="92" applyAlignment="1" pivotButton="0" quotePrefix="0" xfId="0">
      <alignment horizontal="center" vertical="center"/>
    </xf>
    <xf numFmtId="0" fontId="5" fillId="8" borderId="45" applyAlignment="1" pivotButton="0" quotePrefix="0" xfId="0">
      <alignment horizontal="center" vertical="center"/>
    </xf>
    <xf numFmtId="0" fontId="5" fillId="8" borderId="94" applyAlignment="1" pivotButton="0" quotePrefix="0" xfId="0">
      <alignment horizontal="left" vertical="center"/>
    </xf>
    <xf numFmtId="166" fontId="3" fillId="8" borderId="90" applyAlignment="1" pivotButton="0" quotePrefix="0" xfId="0">
      <alignment horizontal="center" vertical="center"/>
    </xf>
    <xf numFmtId="166" fontId="3" fillId="8" borderId="91" applyAlignment="1" pivotButton="0" quotePrefix="0" xfId="0">
      <alignment horizontal="center" vertical="center"/>
    </xf>
    <xf numFmtId="166" fontId="3" fillId="8" borderId="92" applyAlignment="1" pivotButton="0" quotePrefix="0" xfId="0">
      <alignment horizontal="center" vertical="center"/>
    </xf>
    <xf numFmtId="166" fontId="3" fillId="8" borderId="93" applyAlignment="1" pivotButton="0" quotePrefix="0" xfId="0">
      <alignment horizontal="center" vertical="center"/>
    </xf>
    <xf numFmtId="1" fontId="3" fillId="8" borderId="93" applyAlignment="1" pivotButton="0" quotePrefix="0" xfId="0">
      <alignment horizontal="center" vertical="center"/>
    </xf>
    <xf numFmtId="164" fontId="3" fillId="8" borderId="92" applyAlignment="1" pivotButton="0" quotePrefix="0" xfId="0">
      <alignment horizontal="center" vertical="center"/>
    </xf>
    <xf numFmtId="164" fontId="3" fillId="8" borderId="93" applyAlignment="1" pivotButton="0" quotePrefix="0" xfId="0">
      <alignment horizontal="center" vertical="center"/>
    </xf>
    <xf numFmtId="165" fontId="3" fillId="8" borderId="93" applyAlignment="1" pivotButton="0" quotePrefix="0" xfId="0">
      <alignment horizontal="center" vertical="center"/>
    </xf>
    <xf numFmtId="0" fontId="5" fillId="11" borderId="42" applyAlignment="1" pivotButton="0" quotePrefix="0" xfId="0">
      <alignment horizontal="center" vertical="center"/>
    </xf>
    <xf numFmtId="0" fontId="5" fillId="11" borderId="44" applyAlignment="1" pivotButton="0" quotePrefix="0" xfId="0">
      <alignment horizontal="left" vertical="center"/>
    </xf>
    <xf numFmtId="166" fontId="3" fillId="11" borderId="88" applyAlignment="1" pivotButton="0" quotePrefix="0" xfId="0">
      <alignment horizontal="center" vertical="center"/>
    </xf>
    <xf numFmtId="166" fontId="3" fillId="11" borderId="43" applyAlignment="1" pivotButton="0" quotePrefix="0" xfId="0">
      <alignment horizontal="center" vertical="center"/>
    </xf>
    <xf numFmtId="1" fontId="3" fillId="11" borderId="53" applyAlignment="1" pivotButton="0" quotePrefix="0" xfId="0">
      <alignment horizontal="center" vertical="center"/>
    </xf>
    <xf numFmtId="166" fontId="3" fillId="11" borderId="42" applyAlignment="1" pivotButton="0" quotePrefix="0" xfId="0">
      <alignment horizontal="center" vertical="center"/>
    </xf>
    <xf numFmtId="166" fontId="3" fillId="11" borderId="44" applyAlignment="1" pivotButton="0" quotePrefix="0" xfId="0">
      <alignment horizontal="center" vertical="center"/>
    </xf>
    <xf numFmtId="166" fontId="3" fillId="11" borderId="53" applyAlignment="1" pivotButton="0" quotePrefix="0" xfId="0">
      <alignment horizontal="center" vertical="center"/>
    </xf>
    <xf numFmtId="1" fontId="3" fillId="11" borderId="42" applyAlignment="1" pivotButton="0" quotePrefix="0" xfId="0">
      <alignment horizontal="center" vertical="center"/>
    </xf>
    <xf numFmtId="1" fontId="3" fillId="11" borderId="44" applyAlignment="1" pivotButton="0" quotePrefix="0" xfId="0">
      <alignment horizontal="center" vertical="center"/>
    </xf>
    <xf numFmtId="164" fontId="3" fillId="11" borderId="42" applyAlignment="1" pivotButton="0" quotePrefix="0" xfId="0">
      <alignment horizontal="center" vertical="center"/>
    </xf>
    <xf numFmtId="164" fontId="3" fillId="11" borderId="44" applyAlignment="1" pivotButton="0" quotePrefix="0" xfId="0">
      <alignment horizontal="center" vertical="center"/>
    </xf>
    <xf numFmtId="165" fontId="3" fillId="11" borderId="44" applyAlignment="1" pivotButton="0" quotePrefix="0" xfId="0">
      <alignment horizontal="center" vertical="center"/>
    </xf>
    <xf numFmtId="0" fontId="3" fillId="11" borderId="44" applyAlignment="1" pivotButton="0" quotePrefix="0" xfId="0">
      <alignment horizontal="center" vertical="center"/>
    </xf>
    <xf numFmtId="168" fontId="3" fillId="11" borderId="90" applyAlignment="1" pivotButton="0" quotePrefix="0" xfId="0">
      <alignment horizontal="center" vertical="center"/>
    </xf>
    <xf numFmtId="168" fontId="3" fillId="11" borderId="92" applyAlignment="1" pivotButton="0" quotePrefix="0" xfId="0">
      <alignment horizontal="center" vertical="center"/>
    </xf>
    <xf numFmtId="1" fontId="3" fillId="11" borderId="92" applyAlignment="1" pivotButton="0" quotePrefix="0" xfId="0">
      <alignment horizontal="center" vertical="center"/>
    </xf>
    <xf numFmtId="1" fontId="3" fillId="11" borderId="93" applyAlignment="1" pivotButton="0" quotePrefix="0" xfId="0">
      <alignment horizontal="center" vertical="center"/>
    </xf>
    <xf numFmtId="164" fontId="3" fillId="11" borderId="92" applyAlignment="1" pivotButton="0" quotePrefix="0" xfId="0">
      <alignment horizontal="center" vertical="center"/>
    </xf>
    <xf numFmtId="164" fontId="3" fillId="11" borderId="93" applyAlignment="1" pivotButton="0" quotePrefix="0" xfId="0">
      <alignment horizontal="center" vertical="center"/>
    </xf>
    <xf numFmtId="165" fontId="3" fillId="11" borderId="93" applyAlignment="1" pivotButton="0" quotePrefix="0" xfId="0">
      <alignment horizontal="center" vertical="center"/>
    </xf>
    <xf numFmtId="0" fontId="5" fillId="11" borderId="45" applyAlignment="1" pivotButton="0" quotePrefix="0" xfId="0">
      <alignment horizontal="center" vertical="center"/>
    </xf>
    <xf numFmtId="0" fontId="5" fillId="11" borderId="94" applyAlignment="1" pivotButton="0" quotePrefix="0" xfId="0">
      <alignment horizontal="left" vertical="center"/>
    </xf>
    <xf numFmtId="166" fontId="5" fillId="11" borderId="90" applyAlignment="1" pivotButton="0" quotePrefix="0" xfId="0">
      <alignment horizontal="center" vertical="center"/>
    </xf>
    <xf numFmtId="166" fontId="5" fillId="11" borderId="91" applyAlignment="1" pivotButton="0" quotePrefix="0" xfId="0">
      <alignment horizontal="center" vertical="center"/>
    </xf>
    <xf numFmtId="1" fontId="5" fillId="11" borderId="71" applyAlignment="1" pivotButton="0" quotePrefix="0" xfId="0">
      <alignment horizontal="center" vertical="center"/>
    </xf>
    <xf numFmtId="166" fontId="5" fillId="11" borderId="92" applyAlignment="1" pivotButton="0" quotePrefix="0" xfId="0">
      <alignment horizontal="center" vertical="center"/>
    </xf>
    <xf numFmtId="166" fontId="5" fillId="11" borderId="93" applyAlignment="1" pivotButton="0" quotePrefix="0" xfId="0">
      <alignment horizontal="center" vertical="center"/>
    </xf>
    <xf numFmtId="166" fontId="5" fillId="11" borderId="71" applyAlignment="1" pivotButton="0" quotePrefix="0" xfId="0">
      <alignment horizontal="center" vertical="center"/>
    </xf>
    <xf numFmtId="1" fontId="5" fillId="11" borderId="92" applyAlignment="1" pivotButton="0" quotePrefix="0" xfId="0">
      <alignment horizontal="center" vertical="center"/>
    </xf>
    <xf numFmtId="1" fontId="5" fillId="11" borderId="93" applyAlignment="1" pivotButton="0" quotePrefix="0" xfId="0">
      <alignment horizontal="center" vertical="center"/>
    </xf>
    <xf numFmtId="164" fontId="5" fillId="11" borderId="92" applyAlignment="1" pivotButton="0" quotePrefix="0" xfId="0">
      <alignment horizontal="center" vertical="center"/>
    </xf>
    <xf numFmtId="164" fontId="5" fillId="11" borderId="93" applyAlignment="1" pivotButton="0" quotePrefix="0" xfId="0">
      <alignment horizontal="center" vertical="center"/>
    </xf>
    <xf numFmtId="165" fontId="5" fillId="11" borderId="93" applyAlignment="1" pivotButton="0" quotePrefix="0" xfId="0">
      <alignment horizontal="center" vertical="center"/>
    </xf>
    <xf numFmtId="0" fontId="5" fillId="8" borderId="39" applyAlignment="1" pivotButton="0" quotePrefix="0" xfId="0">
      <alignment horizontal="center" vertical="center"/>
    </xf>
    <xf numFmtId="0" fontId="5" fillId="8" borderId="41" applyAlignment="1" pivotButton="0" quotePrefix="0" xfId="0">
      <alignment horizontal="center" vertical="center"/>
    </xf>
    <xf numFmtId="0" fontId="5" fillId="8" borderId="41" applyAlignment="1" pivotButton="0" quotePrefix="0" xfId="0">
      <alignment horizontal="left" vertical="center"/>
    </xf>
    <xf numFmtId="166" fontId="5" fillId="8" borderId="87" applyAlignment="1" pivotButton="0" quotePrefix="0" xfId="0">
      <alignment horizontal="center" vertical="center"/>
    </xf>
    <xf numFmtId="1" fontId="5" fillId="8" borderId="48" applyAlignment="1" pivotButton="0" quotePrefix="0" xfId="0">
      <alignment horizontal="center" vertical="center"/>
    </xf>
    <xf numFmtId="1" fontId="5" fillId="8" borderId="39" applyAlignment="1" pivotButton="0" quotePrefix="0" xfId="0">
      <alignment horizontal="center" vertical="center"/>
    </xf>
    <xf numFmtId="1" fontId="5" fillId="8" borderId="41" applyAlignment="1" pivotButton="0" quotePrefix="0" xfId="0">
      <alignment horizontal="center" vertical="center"/>
    </xf>
    <xf numFmtId="164" fontId="5" fillId="8" borderId="39" applyAlignment="1" pivotButton="0" quotePrefix="0" xfId="0">
      <alignment horizontal="center" vertical="center"/>
    </xf>
    <xf numFmtId="164" fontId="5" fillId="8" borderId="41" applyAlignment="1" pivotButton="0" quotePrefix="0" xfId="0">
      <alignment horizontal="center" vertical="center"/>
    </xf>
    <xf numFmtId="165" fontId="5" fillId="8" borderId="41" applyAlignment="1" pivotButton="0" quotePrefix="0" xfId="0">
      <alignment horizontal="center" vertical="center"/>
    </xf>
    <xf numFmtId="0" fontId="5" fillId="8" borderId="95" applyAlignment="1" pivotButton="0" quotePrefix="0" xfId="0">
      <alignment horizontal="center" vertical="center"/>
    </xf>
    <xf numFmtId="0" fontId="5" fillId="8" borderId="96" applyAlignment="1" pivotButton="0" quotePrefix="0" xfId="0">
      <alignment horizontal="center" vertical="center"/>
    </xf>
    <xf numFmtId="0" fontId="5" fillId="8" borderId="96" applyAlignment="1" pivotButton="0" quotePrefix="0" xfId="0">
      <alignment horizontal="left" vertical="center"/>
    </xf>
    <xf numFmtId="168" fontId="5" fillId="8" borderId="97" applyAlignment="1" pivotButton="0" quotePrefix="0" xfId="0">
      <alignment horizontal="center" vertical="center"/>
    </xf>
    <xf numFmtId="0" fontId="0" fillId="0" borderId="98" applyAlignment="1" pivotButton="0" quotePrefix="0" xfId="0">
      <alignment horizontal="center" vertical="center"/>
    </xf>
    <xf numFmtId="1" fontId="5" fillId="8" borderId="95" applyAlignment="1" pivotButton="0" quotePrefix="0" xfId="0">
      <alignment horizontal="center" vertical="center"/>
    </xf>
    <xf numFmtId="1" fontId="5" fillId="8" borderId="96" applyAlignment="1" pivotButton="0" quotePrefix="0" xfId="0">
      <alignment horizontal="center" vertical="center"/>
    </xf>
    <xf numFmtId="164" fontId="5" fillId="8" borderId="95" applyAlignment="1" pivotButton="0" quotePrefix="0" xfId="0">
      <alignment horizontal="center" vertical="center"/>
    </xf>
    <xf numFmtId="164" fontId="5" fillId="8" borderId="96" applyAlignment="1" pivotButton="0" quotePrefix="0" xfId="0">
      <alignment horizontal="center" vertical="center"/>
    </xf>
    <xf numFmtId="165" fontId="5" fillId="8" borderId="96" applyAlignment="1" pivotButton="0" quotePrefix="0" xfId="0">
      <alignment horizontal="center" vertical="center"/>
    </xf>
    <xf numFmtId="0" fontId="3" fillId="8" borderId="42" applyAlignment="1" pivotButton="0" quotePrefix="0" xfId="0">
      <alignment horizontal="center" vertical="center"/>
    </xf>
    <xf numFmtId="0" fontId="3" fillId="8" borderId="44" applyAlignment="1" pivotButton="0" quotePrefix="0" xfId="0">
      <alignment horizontal="center" vertical="center"/>
    </xf>
    <xf numFmtId="0" fontId="3" fillId="8" borderId="44" applyAlignment="1" pivotButton="0" quotePrefix="0" xfId="0">
      <alignment horizontal="left" vertical="center"/>
    </xf>
    <xf numFmtId="166" fontId="5" fillId="8" borderId="88" applyAlignment="1" pivotButton="0" quotePrefix="0" xfId="0">
      <alignment horizontal="center" vertical="center"/>
    </xf>
    <xf numFmtId="1" fontId="5" fillId="8" borderId="53" applyAlignment="1" pivotButton="0" quotePrefix="0" xfId="0">
      <alignment horizontal="center" vertical="center"/>
    </xf>
    <xf numFmtId="1" fontId="5" fillId="8" borderId="42" applyAlignment="1" pivotButton="0" quotePrefix="0" xfId="0">
      <alignment horizontal="center" vertical="center"/>
    </xf>
    <xf numFmtId="1" fontId="5" fillId="8" borderId="44" applyAlignment="1" pivotButton="0" quotePrefix="0" xfId="0">
      <alignment horizontal="center" vertical="center"/>
    </xf>
    <xf numFmtId="164" fontId="5" fillId="8" borderId="42" applyAlignment="1" pivotButton="0" quotePrefix="0" xfId="0">
      <alignment horizontal="center" vertical="center"/>
    </xf>
    <xf numFmtId="164" fontId="5" fillId="8" borderId="44" applyAlignment="1" pivotButton="0" quotePrefix="0" xfId="0">
      <alignment horizontal="center" vertical="center"/>
    </xf>
    <xf numFmtId="165" fontId="5" fillId="8" borderId="44" applyAlignment="1" pivotButton="0" quotePrefix="0" xfId="0">
      <alignment horizontal="center" vertical="center"/>
    </xf>
    <xf numFmtId="0" fontId="5" fillId="12" borderId="42" applyAlignment="1" pivotButton="0" quotePrefix="0" xfId="0">
      <alignment horizontal="center" vertical="center"/>
    </xf>
    <xf numFmtId="166" fontId="5" fillId="12" borderId="88" applyAlignment="1" pivotButton="0" quotePrefix="0" xfId="0">
      <alignment horizontal="center" vertical="center"/>
    </xf>
    <xf numFmtId="1" fontId="5" fillId="12" borderId="53" applyAlignment="1" pivotButton="0" quotePrefix="0" xfId="0">
      <alignment horizontal="center" vertical="center"/>
    </xf>
    <xf numFmtId="1" fontId="5" fillId="12" borderId="42" applyAlignment="1" pivotButton="0" quotePrefix="0" xfId="0">
      <alignment horizontal="center" vertical="center"/>
    </xf>
    <xf numFmtId="1" fontId="5" fillId="12" borderId="44" applyAlignment="1" pivotButton="0" quotePrefix="0" xfId="0">
      <alignment horizontal="center" vertical="center"/>
    </xf>
    <xf numFmtId="164" fontId="5" fillId="12" borderId="42" applyAlignment="1" pivotButton="0" quotePrefix="0" xfId="0">
      <alignment horizontal="center" vertical="center"/>
    </xf>
    <xf numFmtId="164" fontId="5" fillId="12" borderId="44" applyAlignment="1" pivotButton="0" quotePrefix="0" xfId="0">
      <alignment horizontal="center" vertical="center"/>
    </xf>
    <xf numFmtId="165" fontId="5" fillId="12" borderId="44" applyAlignment="1" pivotButton="0" quotePrefix="0" xfId="0">
      <alignment horizontal="center" vertical="center"/>
    </xf>
    <xf numFmtId="166" fontId="5" fillId="8" borderId="89" applyAlignment="1" pivotButton="0" quotePrefix="0" xfId="0">
      <alignment horizontal="center" vertical="center"/>
    </xf>
    <xf numFmtId="0" fontId="0" fillId="0" borderId="46" applyAlignment="1" pivotButton="0" quotePrefix="0" xfId="0">
      <alignment horizontal="center" vertical="center"/>
    </xf>
    <xf numFmtId="1" fontId="5" fillId="8" borderId="49" applyAlignment="1" pivotButton="0" quotePrefix="0" xfId="0">
      <alignment horizontal="center" vertical="center"/>
    </xf>
    <xf numFmtId="1" fontId="5" fillId="8" borderId="45" applyAlignment="1" pivotButton="0" quotePrefix="0" xfId="0">
      <alignment horizontal="center" vertical="center"/>
    </xf>
    <xf numFmtId="1" fontId="5" fillId="8" borderId="47" applyAlignment="1" pivotButton="0" quotePrefix="0" xfId="0">
      <alignment horizontal="center" vertical="center"/>
    </xf>
    <xf numFmtId="164" fontId="5" fillId="8" borderId="45" applyAlignment="1" pivotButton="0" quotePrefix="0" xfId="0">
      <alignment horizontal="center" vertical="center"/>
    </xf>
    <xf numFmtId="164" fontId="5" fillId="8" borderId="47" applyAlignment="1" pivotButton="0" quotePrefix="0" xfId="0">
      <alignment horizontal="center" vertical="center"/>
    </xf>
    <xf numFmtId="165" fontId="5" fillId="8" borderId="47" applyAlignment="1" pivotButton="0" quotePrefix="0" xfId="0">
      <alignment horizontal="center" vertical="center"/>
    </xf>
    <xf numFmtId="0" fontId="6" fillId="8" borderId="87" applyAlignment="1" pivotButton="0" quotePrefix="0" xfId="0">
      <alignment horizontal="center" vertical="center"/>
    </xf>
    <xf numFmtId="168" fontId="5" fillId="10" borderId="42" applyAlignment="1" pivotButton="0" quotePrefix="0" xfId="0">
      <alignment horizontal="center" vertical="center"/>
    </xf>
    <xf numFmtId="0" fontId="5" fillId="8" borderId="53" applyAlignment="1" pivotButton="0" quotePrefix="0" xfId="0">
      <alignment horizontal="center" vertical="center"/>
    </xf>
    <xf numFmtId="166" fontId="3" fillId="8" borderId="88" applyAlignment="1" pivotButton="0" quotePrefix="0" xfId="0">
      <alignment horizontal="center" vertical="center"/>
    </xf>
    <xf numFmtId="166" fontId="3" fillId="8" borderId="43" applyAlignment="1" pivotButton="0" quotePrefix="0" xfId="0">
      <alignment horizontal="center" vertical="center"/>
    </xf>
    <xf numFmtId="168" fontId="3" fillId="8" borderId="44" applyAlignment="1" pivotButton="0" quotePrefix="0" xfId="0">
      <alignment horizontal="center" vertical="center"/>
    </xf>
    <xf numFmtId="168" fontId="3" fillId="8" borderId="71" applyAlignment="1" pivotButton="0" quotePrefix="0" xfId="0">
      <alignment horizontal="center" vertical="center"/>
    </xf>
    <xf numFmtId="0" fontId="0" fillId="0" borderId="100" pivotButton="0" quotePrefix="0" xfId="0"/>
    <xf numFmtId="0" fontId="5" fillId="8" borderId="49" applyAlignment="1" pivotButton="0" quotePrefix="0" xfId="0">
      <alignment horizontal="center" vertical="center"/>
    </xf>
    <xf numFmtId="0" fontId="5" fillId="11" borderId="53" applyAlignment="1" pivotButton="0" quotePrefix="0" xfId="0">
      <alignment horizontal="center" vertical="center"/>
    </xf>
    <xf numFmtId="168" fontId="3" fillId="11" borderId="44" applyAlignment="1" pivotButton="0" quotePrefix="0" xfId="0">
      <alignment horizontal="center" vertical="center"/>
    </xf>
    <xf numFmtId="168" fontId="3" fillId="11" borderId="71" applyAlignment="1" pivotButton="0" quotePrefix="0" xfId="0">
      <alignment horizontal="center" vertical="center"/>
    </xf>
    <xf numFmtId="168" fontId="3" fillId="11" borderId="93" applyAlignment="1" pivotButton="0" quotePrefix="0" xfId="0">
      <alignment horizontal="center" vertical="center"/>
    </xf>
    <xf numFmtId="166" fontId="3" fillId="11" borderId="92" applyAlignment="1" pivotButton="0" quotePrefix="0" xfId="0">
      <alignment horizontal="center" vertical="center"/>
    </xf>
    <xf numFmtId="166" fontId="3" fillId="11" borderId="93" applyAlignment="1" pivotButton="0" quotePrefix="0" xfId="0">
      <alignment horizontal="center" vertical="center"/>
    </xf>
    <xf numFmtId="0" fontId="5" fillId="11" borderId="49" applyAlignment="1" pivotButton="0" quotePrefix="0" xfId="0">
      <alignment horizontal="center" vertical="center"/>
    </xf>
    <xf numFmtId="168" fontId="5" fillId="11" borderId="93" applyAlignment="1" pivotButton="0" quotePrefix="0" xfId="0">
      <alignment horizontal="center" vertical="center"/>
    </xf>
    <xf numFmtId="166" fontId="5" fillId="8" borderId="39" applyAlignment="1" pivotButton="0" quotePrefix="0" xfId="0">
      <alignment horizontal="center" vertical="center"/>
    </xf>
    <xf numFmtId="166" fontId="5" fillId="8" borderId="41" applyAlignment="1" pivotButton="0" quotePrefix="0" xfId="0">
      <alignment horizontal="center" vertical="center"/>
    </xf>
    <xf numFmtId="166" fontId="5" fillId="8" borderId="48" applyAlignment="1" pivotButton="0" quotePrefix="0" xfId="0">
      <alignment horizontal="center" vertical="center"/>
    </xf>
    <xf numFmtId="168" fontId="5" fillId="8" borderId="41" applyAlignment="1" pivotButton="0" quotePrefix="0" xfId="0">
      <alignment horizontal="center" vertical="center"/>
    </xf>
    <xf numFmtId="168" fontId="5" fillId="8" borderId="95" applyAlignment="1" pivotButton="0" quotePrefix="0" xfId="0">
      <alignment horizontal="center" vertical="center"/>
    </xf>
    <xf numFmtId="168" fontId="5" fillId="8" borderId="96" applyAlignment="1" pivotButton="0" quotePrefix="0" xfId="0">
      <alignment horizontal="center" vertical="center"/>
    </xf>
    <xf numFmtId="168" fontId="5" fillId="8" borderId="72" applyAlignment="1" pivotButton="0" quotePrefix="0" xfId="0">
      <alignment horizontal="center" vertical="center"/>
    </xf>
    <xf numFmtId="166" fontId="5" fillId="8" borderId="95" applyAlignment="1" pivotButton="0" quotePrefix="0" xfId="0">
      <alignment horizontal="center" vertical="center"/>
    </xf>
    <xf numFmtId="166" fontId="5" fillId="8" borderId="96" applyAlignment="1" pivotButton="0" quotePrefix="0" xfId="0">
      <alignment horizontal="center" vertical="center"/>
    </xf>
    <xf numFmtId="0" fontId="5" fillId="8" borderId="48" applyAlignment="1" pivotButton="0" quotePrefix="0" xfId="0">
      <alignment horizontal="center" vertical="center"/>
    </xf>
    <xf numFmtId="166" fontId="5" fillId="8" borderId="42" applyAlignment="1" pivotButton="0" quotePrefix="0" xfId="0">
      <alignment horizontal="center" vertical="center"/>
    </xf>
    <xf numFmtId="166" fontId="5" fillId="8" borderId="44" applyAlignment="1" pivotButton="0" quotePrefix="0" xfId="0">
      <alignment horizontal="center" vertical="center"/>
    </xf>
    <xf numFmtId="166" fontId="5" fillId="8" borderId="53" applyAlignment="1" pivotButton="0" quotePrefix="0" xfId="0">
      <alignment horizontal="center" vertical="center"/>
    </xf>
    <xf numFmtId="168" fontId="5" fillId="8" borderId="44" applyAlignment="1" pivotButton="0" quotePrefix="0" xfId="0">
      <alignment horizontal="center" vertical="center"/>
    </xf>
    <xf numFmtId="0" fontId="5" fillId="12" borderId="53" applyAlignment="1" pivotButton="0" quotePrefix="0" xfId="0">
      <alignment horizontal="center" vertical="center"/>
    </xf>
    <xf numFmtId="166" fontId="5" fillId="12" borderId="42" applyAlignment="1" pivotButton="0" quotePrefix="0" xfId="0">
      <alignment horizontal="center" vertical="center"/>
    </xf>
    <xf numFmtId="166" fontId="5" fillId="12" borderId="44" applyAlignment="1" pivotButton="0" quotePrefix="0" xfId="0">
      <alignment horizontal="center" vertical="center"/>
    </xf>
    <xf numFmtId="166" fontId="5" fillId="12" borderId="53" applyAlignment="1" pivotButton="0" quotePrefix="0" xfId="0">
      <alignment horizontal="center" vertical="center"/>
    </xf>
    <xf numFmtId="168" fontId="5" fillId="12" borderId="44" applyAlignment="1" pivotButton="0" quotePrefix="0" xfId="0">
      <alignment horizontal="center" vertical="center"/>
    </xf>
    <xf numFmtId="166" fontId="5" fillId="8" borderId="45" applyAlignment="1" pivotButton="0" quotePrefix="0" xfId="0">
      <alignment horizontal="center" vertical="center"/>
    </xf>
    <xf numFmtId="166" fontId="5" fillId="8" borderId="47" applyAlignment="1" pivotButton="0" quotePrefix="0" xfId="0">
      <alignment horizontal="center" vertical="center"/>
    </xf>
    <xf numFmtId="166" fontId="5" fillId="8" borderId="49" applyAlignment="1" pivotButton="0" quotePrefix="0" xfId="0">
      <alignment horizontal="center" vertical="center"/>
    </xf>
    <xf numFmtId="168" fontId="5" fillId="8" borderId="47" applyAlignment="1" pivotButton="0" quotePrefix="0" xfId="0">
      <alignment horizontal="center" vertical="center"/>
    </xf>
    <xf numFmtId="0" fontId="6" fillId="8" borderId="101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109"/>
  <sheetViews>
    <sheetView showGridLines="0" zoomScale="85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style="1" min="1" max="1"/>
    <col width="9" customWidth="1" style="1" min="2" max="2"/>
    <col width="10" customWidth="1" style="1" min="3" max="3"/>
    <col width="6.2" customWidth="1" style="1" min="4" max="4"/>
    <col width="6.2" customWidth="1" style="1" min="5" max="5"/>
    <col width="6.2" customWidth="1" style="1" min="6" max="6"/>
    <col width="6.2" customWidth="1" style="1" min="7" max="7"/>
    <col width="6.2" customWidth="1" style="1" min="8" max="8"/>
    <col width="6.2" customWidth="1" style="1" min="9" max="9"/>
    <col width="6.2" customWidth="1" style="1" min="10" max="10"/>
    <col width="6.2" customWidth="1" style="1" min="11" max="11"/>
    <col width="6.2" customWidth="1" style="1" min="12" max="12"/>
    <col width="6.2" customWidth="1" style="1" min="13" max="13"/>
    <col width="6.2" customWidth="1" style="1" min="14" max="14"/>
    <col width="6.2" customWidth="1" style="1" min="15" max="15"/>
    <col width="6.2" customWidth="1" style="1" min="16" max="16"/>
    <col width="6.2" customWidth="1" style="1" min="17" max="17"/>
    <col width="6.2" customWidth="1" style="1" min="18" max="18"/>
    <col width="6.2" customWidth="1" style="1" min="19" max="19"/>
    <col width="6.2" customWidth="1" style="1" min="20" max="20"/>
    <col width="6.2" customWidth="1" style="1" min="21" max="21"/>
    <col width="6.2" customWidth="1" style="1" min="22" max="22"/>
    <col width="6.2" customWidth="1" style="1" min="23" max="23"/>
    <col width="1.6" customWidth="1" style="1" min="24" max="24"/>
    <col width="7" customWidth="1" style="1" min="25" max="25"/>
    <col width="7" customWidth="1" style="1" min="26" max="26"/>
    <col width="7" customWidth="1" style="1" min="27" max="27"/>
    <col width="7" customWidth="1" style="1" min="28" max="28"/>
    <col width="7" customWidth="1" style="1" min="29" max="29"/>
    <col width="7" customWidth="1" style="1" min="30" max="30"/>
    <col width="7" customWidth="1" style="1" min="31" max="31"/>
    <col width="7" customWidth="1" style="1" min="32" max="32"/>
    <col width="7" customWidth="1" style="1" min="33" max="33"/>
    <col width="8.5" customWidth="1" style="1" min="34" max="34"/>
  </cols>
  <sheetData>
    <row r="1" ht="16" customHeight="1" s="1">
      <c r="A1" s="281" t="inlineStr">
        <is>
          <t xml:space="preserve">Vessel Space Utilization Report - </t>
        </is>
      </c>
      <c r="B1" s="124" t="n"/>
      <c r="C1" s="124" t="n"/>
      <c r="D1" s="124" t="n"/>
      <c r="E1" s="124" t="n"/>
      <c r="F1" s="124" t="n"/>
      <c r="G1" s="124" t="n"/>
      <c r="H1" s="285" t="inlineStr">
        <is>
          <t>Selection: Source Bayplan, Actual Booking &amp; CBF</t>
        </is>
      </c>
      <c r="I1" s="124" t="n"/>
      <c r="J1" s="124" t="n"/>
      <c r="K1" s="124" t="n"/>
      <c r="L1" s="124" t="n"/>
      <c r="M1" s="124" t="n"/>
      <c r="N1" s="285" t="n"/>
      <c r="O1" s="286" t="n"/>
      <c r="P1" s="285" t="n"/>
      <c r="Q1" s="286" t="n"/>
      <c r="R1" s="285" t="n"/>
      <c r="S1" s="286" t="n"/>
      <c r="T1" s="285" t="n"/>
      <c r="U1" s="286" t="n"/>
      <c r="V1" s="285" t="n"/>
      <c r="W1" s="286" t="n"/>
      <c r="X1" s="287" t="n"/>
      <c r="Y1" s="287" t="inlineStr">
        <is>
          <t>Report Generated: 15-Jun-2026</t>
        </is>
      </c>
      <c r="Z1" s="124" t="n"/>
      <c r="AA1" s="124" t="n"/>
      <c r="AB1" s="124" t="n"/>
      <c r="AC1" s="124" t="n"/>
      <c r="AD1" s="124" t="n"/>
      <c r="AE1" s="124" t="n"/>
      <c r="AF1" s="124" t="n"/>
      <c r="AG1" s="124" t="n"/>
      <c r="AH1" s="125" t="n"/>
    </row>
    <row r="2" ht="16" customHeight="1" s="1">
      <c r="A2" s="297" t="inlineStr">
        <is>
          <t>Service Lane : CGX/0005</t>
        </is>
      </c>
      <c r="C2" s="127" t="n"/>
      <c r="D2" s="292" t="inlineStr">
        <is>
          <t>EXPRESS BERLIN / XPBL2625WE</t>
        </is>
      </c>
      <c r="I2" s="295" t="n"/>
      <c r="J2" s="296" t="n"/>
      <c r="K2" s="295" t="n"/>
      <c r="L2" s="296" t="n"/>
      <c r="M2" s="295" t="n"/>
      <c r="N2" s="296" t="n"/>
      <c r="O2" s="295" t="n"/>
      <c r="P2" s="296" t="n"/>
      <c r="Q2" s="295" t="n"/>
      <c r="R2" s="296" t="n"/>
      <c r="S2" s="295" t="n"/>
      <c r="T2" s="296" t="n"/>
      <c r="U2" s="295" t="n"/>
      <c r="V2" s="296" t="n"/>
      <c r="W2" s="295" t="n"/>
      <c r="X2" s="297" t="n"/>
      <c r="Y2" s="297" t="inlineStr">
        <is>
          <t xml:space="preserve">WB ALLOCATION : </t>
        </is>
      </c>
      <c r="Z2" s="127" t="n"/>
      <c r="AA2" s="298" t="n">
        <v>0</v>
      </c>
      <c r="AB2" s="290" t="inlineStr">
        <is>
          <t xml:space="preserve"> TEUS, </t>
        </is>
      </c>
      <c r="AC2" s="299" t="n"/>
      <c r="AD2" s="427">
        <f>AA2*12</f>
        <v/>
      </c>
      <c r="AE2" s="299" t="inlineStr">
        <is>
          <t xml:space="preserve"> MT, </t>
        </is>
      </c>
      <c r="AF2" s="301" t="n">
        <v>0</v>
      </c>
      <c r="AG2" s="299" t="inlineStr">
        <is>
          <t xml:space="preserve"> RF PLUGS </t>
        </is>
      </c>
      <c r="AH2" s="297" t="n"/>
    </row>
    <row r="3" ht="16" customHeight="1" s="1">
      <c r="A3" s="123" t="inlineStr">
        <is>
          <t>POD</t>
        </is>
      </c>
      <c r="B3" s="124" t="n"/>
      <c r="C3" s="125" t="n"/>
      <c r="D3" s="302" t="inlineStr">
        <is>
          <t>CNTAO</t>
        </is>
      </c>
      <c r="E3" s="124" t="n"/>
      <c r="F3" s="302" t="inlineStr">
        <is>
          <t>CNSHA</t>
        </is>
      </c>
      <c r="G3" s="124" t="n"/>
      <c r="H3" s="302" t="inlineStr">
        <is>
          <t>CNNGB</t>
        </is>
      </c>
      <c r="I3" s="124" t="n"/>
      <c r="J3" s="302" t="inlineStr">
        <is>
          <t>CNSHK</t>
        </is>
      </c>
      <c r="K3" s="124" t="n"/>
      <c r="L3" s="302" t="inlineStr">
        <is>
          <t>CNNSA</t>
        </is>
      </c>
      <c r="M3" s="124" t="n"/>
      <c r="N3" s="302" t="inlineStr">
        <is>
          <t>MYPKG</t>
        </is>
      </c>
      <c r="O3" s="124" t="n"/>
      <c r="P3" s="302" t="inlineStr">
        <is>
          <t>INMUN</t>
        </is>
      </c>
      <c r="Q3" s="124" t="n"/>
      <c r="R3" s="302" t="inlineStr">
        <is>
          <t>PKKHI</t>
        </is>
      </c>
      <c r="S3" s="124" t="n"/>
      <c r="T3" s="302" t="inlineStr">
        <is>
          <t>OMSOH</t>
        </is>
      </c>
      <c r="U3" s="124" t="n"/>
      <c r="V3" s="302" t="inlineStr">
        <is>
          <t>AEKLF</t>
        </is>
      </c>
      <c r="W3" s="124" t="n"/>
      <c r="X3" s="303" t="n"/>
      <c r="Y3" s="303" t="inlineStr">
        <is>
          <t>TOTAL</t>
        </is>
      </c>
      <c r="Z3" s="125" t="n"/>
      <c r="AA3" s="303" t="inlineStr">
        <is>
          <t>TTL</t>
        </is>
      </c>
      <c r="AB3" s="303" t="inlineStr">
        <is>
          <t>ROB (TEUS)</t>
        </is>
      </c>
      <c r="AC3" s="125" t="n"/>
      <c r="AD3" s="303" t="inlineStr">
        <is>
          <t>UTILISATION</t>
        </is>
      </c>
      <c r="AE3" s="125" t="n"/>
      <c r="AF3" s="303" t="inlineStr">
        <is>
          <t>AVL</t>
        </is>
      </c>
      <c r="AG3" s="125" t="n"/>
      <c r="AH3" s="303" t="inlineStr">
        <is>
          <t>RF Plug</t>
        </is>
      </c>
    </row>
    <row r="4" ht="16" customHeight="1" s="1">
      <c r="A4" s="126" t="inlineStr">
        <is>
          <t>ETA</t>
        </is>
      </c>
      <c r="C4" s="127" t="n"/>
      <c r="D4" s="296" t="inlineStr">
        <is>
          <t>06/29</t>
        </is>
      </c>
      <c r="F4" s="296" t="inlineStr">
        <is>
          <t>07/03</t>
        </is>
      </c>
      <c r="H4" s="296" t="inlineStr">
        <is>
          <t>07/04</t>
        </is>
      </c>
      <c r="J4" s="296" t="inlineStr">
        <is>
          <t>07/07</t>
        </is>
      </c>
      <c r="L4" s="296" t="inlineStr">
        <is>
          <t>07/08</t>
        </is>
      </c>
      <c r="N4" s="296" t="inlineStr">
        <is>
          <t>07/13</t>
        </is>
      </c>
      <c r="P4" s="296" t="inlineStr">
        <is>
          <t>SKIP</t>
        </is>
      </c>
      <c r="R4" s="296" t="inlineStr">
        <is>
          <t>08/01</t>
        </is>
      </c>
      <c r="T4" s="296" t="inlineStr">
        <is>
          <t>07/27</t>
        </is>
      </c>
      <c r="V4" s="296" t="inlineStr">
        <is>
          <t>07/24</t>
        </is>
      </c>
      <c r="X4" s="297" t="n"/>
      <c r="Y4" s="290" t="n"/>
      <c r="Z4" s="299" t="n"/>
      <c r="AA4" s="297" t="n"/>
      <c r="AB4" s="290" t="n"/>
      <c r="AC4" s="299" t="n"/>
      <c r="AD4" s="290" t="n"/>
      <c r="AE4" s="299" t="n"/>
      <c r="AF4" s="290" t="n"/>
      <c r="AG4" s="299" t="n"/>
      <c r="AH4" s="297" t="n"/>
    </row>
    <row r="5" ht="16" customHeight="1" s="1">
      <c r="A5" s="128" t="inlineStr">
        <is>
          <t>POL</t>
        </is>
      </c>
      <c r="B5" s="129" t="n"/>
      <c r="C5" s="130" t="n"/>
      <c r="D5" s="306" t="inlineStr">
        <is>
          <t>20'</t>
        </is>
      </c>
      <c r="E5" s="307" t="inlineStr">
        <is>
          <t>40'</t>
        </is>
      </c>
      <c r="F5" s="306" t="inlineStr">
        <is>
          <t>20'</t>
        </is>
      </c>
      <c r="G5" s="307" t="inlineStr">
        <is>
          <t>40'</t>
        </is>
      </c>
      <c r="H5" s="306" t="inlineStr">
        <is>
          <t>20'</t>
        </is>
      </c>
      <c r="I5" s="307" t="inlineStr">
        <is>
          <t>40'</t>
        </is>
      </c>
      <c r="J5" s="306" t="inlineStr">
        <is>
          <t>20'</t>
        </is>
      </c>
      <c r="K5" s="307" t="inlineStr">
        <is>
          <t>40'</t>
        </is>
      </c>
      <c r="L5" s="306" t="inlineStr">
        <is>
          <t>20'</t>
        </is>
      </c>
      <c r="M5" s="307" t="inlineStr">
        <is>
          <t>40'</t>
        </is>
      </c>
      <c r="N5" s="306" t="inlineStr">
        <is>
          <t>20'</t>
        </is>
      </c>
      <c r="O5" s="307" t="inlineStr">
        <is>
          <t>40'</t>
        </is>
      </c>
      <c r="P5" s="306" t="inlineStr">
        <is>
          <t>20'</t>
        </is>
      </c>
      <c r="Q5" s="307" t="inlineStr">
        <is>
          <t>40'</t>
        </is>
      </c>
      <c r="R5" s="306" t="inlineStr">
        <is>
          <t>20'</t>
        </is>
      </c>
      <c r="S5" s="307" t="inlineStr">
        <is>
          <t>40'</t>
        </is>
      </c>
      <c r="T5" s="306" t="inlineStr">
        <is>
          <t>20'</t>
        </is>
      </c>
      <c r="U5" s="307" t="inlineStr">
        <is>
          <t>40'</t>
        </is>
      </c>
      <c r="V5" s="306" t="inlineStr">
        <is>
          <t>20'</t>
        </is>
      </c>
      <c r="W5" s="307" t="inlineStr">
        <is>
          <t>40'</t>
        </is>
      </c>
      <c r="X5" s="308" t="n"/>
      <c r="Y5" s="309" t="inlineStr">
        <is>
          <t>20'</t>
        </is>
      </c>
      <c r="Z5" s="310" t="inlineStr">
        <is>
          <t>40'</t>
        </is>
      </c>
      <c r="AA5" s="308" t="inlineStr">
        <is>
          <t>TEUS</t>
        </is>
      </c>
      <c r="AB5" s="309" t="inlineStr">
        <is>
          <t>(All)</t>
        </is>
      </c>
      <c r="AC5" s="310" t="inlineStr">
        <is>
          <t>(LD)</t>
        </is>
      </c>
      <c r="AD5" s="309" t="inlineStr">
        <is>
          <t>(All)</t>
        </is>
      </c>
      <c r="AE5" s="310" t="inlineStr">
        <is>
          <t>(LD)</t>
        </is>
      </c>
      <c r="AF5" s="309" t="inlineStr">
        <is>
          <t>TEUs</t>
        </is>
      </c>
      <c r="AG5" s="310" t="inlineStr">
        <is>
          <t>Weight</t>
        </is>
      </c>
      <c r="AH5" s="308" t="str"/>
    </row>
    <row r="6" ht="15" customHeight="1" s="1">
      <c r="A6" s="428" t="inlineStr">
        <is>
          <t>ROB</t>
        </is>
      </c>
      <c r="B6" s="127" t="n"/>
      <c r="C6" s="312" t="inlineStr">
        <is>
          <t>LILIAN</t>
        </is>
      </c>
      <c r="D6" s="429" t="n"/>
      <c r="E6" s="430" t="n"/>
      <c r="F6" s="429" t="n"/>
      <c r="G6" s="430" t="n"/>
      <c r="H6" s="429" t="n"/>
      <c r="I6" s="430" t="n"/>
      <c r="J6" s="429" t="n"/>
      <c r="K6" s="430" t="n"/>
      <c r="L6" s="429" t="n"/>
      <c r="M6" s="430" t="n"/>
      <c r="N6" s="429" t="n"/>
      <c r="O6" s="430" t="n"/>
      <c r="P6" s="429" t="n"/>
      <c r="Q6" s="430" t="n"/>
      <c r="R6" s="429" t="n"/>
      <c r="S6" s="430" t="n"/>
      <c r="T6" s="429" t="n"/>
      <c r="U6" s="430" t="n"/>
      <c r="V6" s="429" t="n"/>
      <c r="W6" s="430" t="n"/>
      <c r="X6" s="315" t="n"/>
      <c r="Y6" s="316">
        <f>D6+F6+H6+J6+L6+N6+P6+R6+T6+V6</f>
        <v/>
      </c>
      <c r="Z6" s="317">
        <f>E6+G6+I6+K6+M6+O6+Q6+S6+U6+W6</f>
        <v/>
      </c>
      <c r="AA6" s="318">
        <f>Y6+Z6*2</f>
        <v/>
      </c>
      <c r="AB6" s="316">
        <f>0+AA6+AA7+AA8+AA9+AA10+AA11-(0)</f>
        <v/>
      </c>
      <c r="AC6" s="317">
        <f>0+AA6+AA7+AA8+AA9+AA10-(0)</f>
        <v/>
      </c>
      <c r="AD6" s="319">
        <f>IF(AA$2&gt;0,AB6/AA$2,0)</f>
        <v/>
      </c>
      <c r="AE6" s="320">
        <f>IF(AA$2&gt;0,AC6/AA$2,0)</f>
        <v/>
      </c>
      <c r="AF6" s="316" t="n"/>
      <c r="AG6" s="431" t="n"/>
      <c r="AH6" s="318" t="n"/>
    </row>
    <row r="7" ht="15" customHeight="1" s="1">
      <c r="A7" s="277" t="n"/>
      <c r="B7" s="127" t="n"/>
      <c r="C7" s="312" t="inlineStr">
        <is>
          <t>SUL</t>
        </is>
      </c>
      <c r="D7" s="429" t="n"/>
      <c r="E7" s="430" t="n"/>
      <c r="F7" s="429" t="n"/>
      <c r="G7" s="430" t="n"/>
      <c r="H7" s="429" t="n"/>
      <c r="I7" s="430" t="n"/>
      <c r="J7" s="429" t="n"/>
      <c r="K7" s="430" t="n"/>
      <c r="L7" s="429" t="n"/>
      <c r="M7" s="430" t="n"/>
      <c r="N7" s="429" t="n"/>
      <c r="O7" s="430" t="n"/>
      <c r="P7" s="429" t="n"/>
      <c r="Q7" s="430" t="n"/>
      <c r="R7" s="429" t="n"/>
      <c r="S7" s="430" t="n"/>
      <c r="T7" s="429" t="n"/>
      <c r="U7" s="430" t="n"/>
      <c r="V7" s="429" t="n"/>
      <c r="W7" s="430" t="n"/>
      <c r="X7" s="315" t="n"/>
      <c r="Y7" s="316">
        <f>D7+F7+H7+J7+L7+N7+P7+R7+T7+V7</f>
        <v/>
      </c>
      <c r="Z7" s="317">
        <f>E7+G7+I7+K7+M7+O7+Q7+S7+U7+W7</f>
        <v/>
      </c>
      <c r="AA7" s="318">
        <f>Y7+Z7*2</f>
        <v/>
      </c>
      <c r="AB7" s="316" t="n"/>
      <c r="AC7" s="317" t="n"/>
      <c r="AD7" s="316" t="n"/>
      <c r="AE7" s="317" t="n"/>
      <c r="AF7" s="316" t="n"/>
      <c r="AG7" s="431" t="n"/>
      <c r="AH7" s="318" t="n"/>
    </row>
    <row r="8" ht="15" customHeight="1" s="1">
      <c r="A8" s="277" t="n"/>
      <c r="B8" s="127" t="n"/>
      <c r="C8" s="312" t="inlineStr">
        <is>
          <t>T/S</t>
        </is>
      </c>
      <c r="D8" s="429" t="n"/>
      <c r="E8" s="430" t="n"/>
      <c r="F8" s="429" t="n"/>
      <c r="G8" s="430" t="n"/>
      <c r="H8" s="429" t="n"/>
      <c r="I8" s="430" t="n"/>
      <c r="J8" s="429" t="n"/>
      <c r="K8" s="430" t="n"/>
      <c r="L8" s="429" t="n"/>
      <c r="M8" s="430" t="n"/>
      <c r="N8" s="429" t="n"/>
      <c r="O8" s="430" t="n"/>
      <c r="P8" s="429" t="n"/>
      <c r="Q8" s="430" t="n"/>
      <c r="R8" s="429" t="n"/>
      <c r="S8" s="430" t="n"/>
      <c r="T8" s="429" t="n"/>
      <c r="U8" s="430" t="n"/>
      <c r="V8" s="429" t="n"/>
      <c r="W8" s="430" t="n"/>
      <c r="X8" s="315" t="n"/>
      <c r="Y8" s="316">
        <f>D8+F8+H8+J8+L8+N8+P8+R8+T8+V8</f>
        <v/>
      </c>
      <c r="Z8" s="317">
        <f>E8+G8+I8+K8+M8+O8+Q8+S8+U8+W8</f>
        <v/>
      </c>
      <c r="AA8" s="318">
        <f>Y8+Z8*2</f>
        <v/>
      </c>
      <c r="AB8" s="316" t="n"/>
      <c r="AC8" s="317" t="n"/>
      <c r="AD8" s="316" t="n"/>
      <c r="AE8" s="317" t="n"/>
      <c r="AF8" s="316" t="n"/>
      <c r="AG8" s="431" t="n"/>
      <c r="AH8" s="318" t="n"/>
    </row>
    <row r="9" ht="15" customHeight="1" s="1">
      <c r="A9" s="277" t="n"/>
      <c r="B9" s="127" t="n"/>
      <c r="C9" s="312" t="inlineStr">
        <is>
          <t>SOC</t>
        </is>
      </c>
      <c r="D9" s="429" t="n"/>
      <c r="E9" s="430" t="n"/>
      <c r="F9" s="429" t="n"/>
      <c r="G9" s="430" t="n"/>
      <c r="H9" s="429" t="n"/>
      <c r="I9" s="430" t="n"/>
      <c r="J9" s="429" t="n"/>
      <c r="K9" s="430" t="n"/>
      <c r="L9" s="429" t="n"/>
      <c r="M9" s="430" t="n"/>
      <c r="N9" s="429" t="n"/>
      <c r="O9" s="430" t="n"/>
      <c r="P9" s="429" t="n"/>
      <c r="Q9" s="430" t="n"/>
      <c r="R9" s="429" t="n"/>
      <c r="S9" s="430" t="n"/>
      <c r="T9" s="429" t="n"/>
      <c r="U9" s="430" t="n"/>
      <c r="V9" s="429" t="n"/>
      <c r="W9" s="430" t="n"/>
      <c r="X9" s="315" t="n"/>
      <c r="Y9" s="316">
        <f>D9+F9+H9+J9+L9+N9+P9+R9+T9+V9</f>
        <v/>
      </c>
      <c r="Z9" s="317">
        <f>E9+G9+I9+K9+M9+O9+Q9+S9+U9+W9</f>
        <v/>
      </c>
      <c r="AA9" s="318">
        <f>Y9+Z9*2</f>
        <v/>
      </c>
      <c r="AB9" s="316" t="n"/>
      <c r="AC9" s="317" t="n"/>
      <c r="AD9" s="316" t="n"/>
      <c r="AE9" s="317" t="n"/>
      <c r="AF9" s="316" t="n"/>
      <c r="AG9" s="431" t="n"/>
      <c r="AH9" s="318" t="n"/>
    </row>
    <row r="10" ht="15" customHeight="1" s="1">
      <c r="A10" s="277" t="n"/>
      <c r="B10" s="127" t="n"/>
      <c r="C10" s="312" t="inlineStr">
        <is>
          <t>RF</t>
        </is>
      </c>
      <c r="D10" s="429" t="n"/>
      <c r="E10" s="430" t="n"/>
      <c r="F10" s="429" t="n"/>
      <c r="G10" s="430" t="n"/>
      <c r="H10" s="429" t="n"/>
      <c r="I10" s="430" t="n"/>
      <c r="J10" s="429" t="n"/>
      <c r="K10" s="430" t="n"/>
      <c r="L10" s="429" t="n"/>
      <c r="M10" s="430" t="n"/>
      <c r="N10" s="429" t="n"/>
      <c r="O10" s="430" t="n"/>
      <c r="P10" s="429" t="n"/>
      <c r="Q10" s="430" t="n"/>
      <c r="R10" s="429" t="n"/>
      <c r="S10" s="430" t="n"/>
      <c r="T10" s="429" t="n"/>
      <c r="U10" s="430" t="n"/>
      <c r="V10" s="429" t="n"/>
      <c r="W10" s="430" t="n"/>
      <c r="X10" s="315" t="n"/>
      <c r="Y10" s="316">
        <f>D10+F10+H10+J10+L10+N10+P10+R10+T10+V10</f>
        <v/>
      </c>
      <c r="Z10" s="317">
        <f>E10+G10+I10+K10+M10+O10+Q10+S10+U10+W10</f>
        <v/>
      </c>
      <c r="AA10" s="318">
        <f>Y10+Z10*2</f>
        <v/>
      </c>
      <c r="AB10" s="316" t="n"/>
      <c r="AC10" s="317" t="n"/>
      <c r="AD10" s="316" t="n"/>
      <c r="AE10" s="317" t="n"/>
      <c r="AF10" s="316" t="n"/>
      <c r="AG10" s="431" t="n"/>
      <c r="AH10" s="318">
        <f>$AF$2-Y10-Z10</f>
        <v/>
      </c>
    </row>
    <row r="11" ht="15" customHeight="1" s="1">
      <c r="A11" s="311" t="n"/>
      <c r="B11" s="327" t="n"/>
      <c r="C11" s="312" t="inlineStr">
        <is>
          <t>MT</t>
        </is>
      </c>
      <c r="D11" s="429" t="n"/>
      <c r="E11" s="430" t="n"/>
      <c r="F11" s="429" t="n"/>
      <c r="G11" s="430" t="n"/>
      <c r="H11" s="429" t="n"/>
      <c r="I11" s="430" t="n"/>
      <c r="J11" s="429" t="n"/>
      <c r="K11" s="430" t="n"/>
      <c r="L11" s="429" t="n"/>
      <c r="M11" s="430" t="n"/>
      <c r="N11" s="429" t="n"/>
      <c r="O11" s="430" t="n"/>
      <c r="P11" s="429" t="n"/>
      <c r="Q11" s="430" t="n"/>
      <c r="R11" s="429" t="n"/>
      <c r="S11" s="430" t="n"/>
      <c r="T11" s="429" t="n"/>
      <c r="U11" s="430" t="n"/>
      <c r="V11" s="429" t="n"/>
      <c r="W11" s="430" t="n"/>
      <c r="X11" s="315" t="n"/>
      <c r="Y11" s="316">
        <f>D11+F11+H11+J11+L11+N11+P11+R11+T11+V11</f>
        <v/>
      </c>
      <c r="Z11" s="317">
        <f>E11+G11+I11+K11+M11+O11+Q11+S11+U11+W11</f>
        <v/>
      </c>
      <c r="AA11" s="318">
        <f>Y11+Z11*2</f>
        <v/>
      </c>
      <c r="AB11" s="316" t="n"/>
      <c r="AC11" s="317" t="n"/>
      <c r="AD11" s="316" t="n"/>
      <c r="AE11" s="317" t="n"/>
      <c r="AF11" s="316" t="n"/>
      <c r="AG11" s="431" t="n"/>
      <c r="AH11" s="318" t="n"/>
    </row>
    <row r="12" ht="15" customHeight="1" s="1">
      <c r="A12" s="311" t="n"/>
      <c r="B12" s="327" t="n"/>
      <c r="C12" s="312" t="inlineStr">
        <is>
          <t>Weight</t>
        </is>
      </c>
      <c r="D12" s="328" t="n"/>
      <c r="E12" s="272" t="n"/>
      <c r="F12" s="328" t="n"/>
      <c r="G12" s="272" t="n"/>
      <c r="H12" s="328" t="n"/>
      <c r="I12" s="272" t="n"/>
      <c r="J12" s="328" t="n"/>
      <c r="K12" s="272" t="n"/>
      <c r="L12" s="328" t="n"/>
      <c r="M12" s="272" t="n"/>
      <c r="N12" s="328" t="n"/>
      <c r="O12" s="272" t="n"/>
      <c r="P12" s="328" t="n"/>
      <c r="Q12" s="272" t="n"/>
      <c r="R12" s="328" t="n"/>
      <c r="S12" s="272" t="n"/>
      <c r="T12" s="328" t="n"/>
      <c r="U12" s="272" t="n"/>
      <c r="V12" s="328" t="n"/>
      <c r="W12" s="272" t="n"/>
      <c r="X12" s="173" t="n"/>
      <c r="Y12" s="432">
        <f>D12+F12+H12+J12+L12+N12+P12+R12+T12+V12</f>
        <v/>
      </c>
      <c r="Z12" s="433" t="n"/>
      <c r="AA12" s="432" t="n"/>
      <c r="AB12" s="330">
        <f>Y12-(0)</f>
        <v/>
      </c>
      <c r="AC12" s="332">
        <f>AB12-(AB6-AC6)*2</f>
        <v/>
      </c>
      <c r="AD12" s="333">
        <f>IF(AD$2&gt;0,AB12/AD$2,0)</f>
        <v/>
      </c>
      <c r="AE12" s="334">
        <f>IF(AD$2&gt;0,AC12/AD$2,0)</f>
        <v/>
      </c>
      <c r="AF12" s="330" t="n"/>
      <c r="AG12" s="332">
        <f>AD$2-AB12</f>
        <v/>
      </c>
      <c r="AH12" s="432" t="n"/>
    </row>
    <row r="13" ht="15" customHeight="1" s="1">
      <c r="A13" s="434" t="n"/>
      <c r="B13" s="130" t="n"/>
      <c r="C13" s="337" t="inlineStr">
        <is>
          <t>TTL</t>
        </is>
      </c>
      <c r="D13" s="338">
        <f>D6+D7+D8+D9+D10+D11</f>
        <v/>
      </c>
      <c r="E13" s="339">
        <f>E6+E7+E8+E9+E10+E11</f>
        <v/>
      </c>
      <c r="F13" s="338">
        <f>F6+F7+F8+F9+F10+F11</f>
        <v/>
      </c>
      <c r="G13" s="339">
        <f>G6+G7+G8+G9+G10+G11</f>
        <v/>
      </c>
      <c r="H13" s="338">
        <f>H6+H7+H8+H9+H10+H11</f>
        <v/>
      </c>
      <c r="I13" s="339">
        <f>I6+I7+I8+I9+I10+I11</f>
        <v/>
      </c>
      <c r="J13" s="338">
        <f>J6+J7+J8+J9+J10+J11</f>
        <v/>
      </c>
      <c r="K13" s="339">
        <f>K6+K7+K8+K9+K10+K11</f>
        <v/>
      </c>
      <c r="L13" s="338">
        <f>L6+L7+L8+L9+L10+L11</f>
        <v/>
      </c>
      <c r="M13" s="339">
        <f>M6+M7+M8+M9+M10+M11</f>
        <v/>
      </c>
      <c r="N13" s="338">
        <f>N6+N7+N8+N9+N10+N11</f>
        <v/>
      </c>
      <c r="O13" s="339">
        <f>O6+O7+O8+O9+O10+O11</f>
        <v/>
      </c>
      <c r="P13" s="338">
        <f>P6+P7+P8+P9+P10+P11</f>
        <v/>
      </c>
      <c r="Q13" s="339">
        <f>Q6+Q7+Q8+Q9+Q10+Q11</f>
        <v/>
      </c>
      <c r="R13" s="338">
        <f>R6+R7+R8+R9+R10+R11</f>
        <v/>
      </c>
      <c r="S13" s="339">
        <f>S6+S7+S8+S9+S10+S11</f>
        <v/>
      </c>
      <c r="T13" s="338">
        <f>T6+T7+T8+T9+T10+T11</f>
        <v/>
      </c>
      <c r="U13" s="339">
        <f>U6+U7+U8+U9+U10+U11</f>
        <v/>
      </c>
      <c r="V13" s="338">
        <f>V6+V7+V8+V9+V10+V11</f>
        <v/>
      </c>
      <c r="W13" s="339">
        <f>W6+W7+W8+W9+W10+W11</f>
        <v/>
      </c>
      <c r="X13" s="173" t="n"/>
      <c r="Y13" s="340">
        <f>Y6+Y7+Y8+Y9+Y10+Y11</f>
        <v/>
      </c>
      <c r="Z13" s="341">
        <f>Z6+Z7+Z8+Z9+Z10+Z11</f>
        <v/>
      </c>
      <c r="AA13" s="176">
        <f>AA6+AA7+AA8+AA9+AA10+AA11</f>
        <v/>
      </c>
      <c r="AB13" s="340" t="n"/>
      <c r="AC13" s="341" t="n"/>
      <c r="AD13" s="340" t="n"/>
      <c r="AE13" s="341" t="n"/>
      <c r="AF13" s="340">
        <f>$AA$2-AB6</f>
        <v/>
      </c>
      <c r="AG13" s="332" t="n"/>
      <c r="AH13" s="176" t="n"/>
    </row>
    <row r="14" ht="15" customHeight="1" s="1">
      <c r="A14" s="428" t="inlineStr">
        <is>
          <t>CNTAO</t>
        </is>
      </c>
      <c r="B14" s="127" t="n"/>
      <c r="C14" s="312" t="inlineStr">
        <is>
          <t>LILIAN</t>
        </is>
      </c>
      <c r="D14" s="429" t="n"/>
      <c r="E14" s="430" t="n"/>
      <c r="F14" s="429" t="n"/>
      <c r="G14" s="430" t="n"/>
      <c r="H14" s="429" t="n"/>
      <c r="I14" s="430" t="n"/>
      <c r="J14" s="429" t="n"/>
      <c r="K14" s="430" t="n"/>
      <c r="L14" s="429" t="n"/>
      <c r="M14" s="430" t="n"/>
      <c r="N14" s="429" t="n"/>
      <c r="O14" s="430" t="n"/>
      <c r="P14" s="429" t="n"/>
      <c r="Q14" s="430" t="n"/>
      <c r="R14" s="429" t="n"/>
      <c r="S14" s="430" t="n"/>
      <c r="T14" s="429" t="n"/>
      <c r="U14" s="430" t="n"/>
      <c r="V14" s="429" t="n"/>
      <c r="W14" s="430" t="n"/>
      <c r="X14" s="315" t="n"/>
      <c r="Y14" s="316">
        <f>D14+F14+H14+J14+L14+N14+P14+R14+T14+V14</f>
        <v/>
      </c>
      <c r="Z14" s="317">
        <f>E14+G14+I14+K14+M14+O14+Q14+S14+U14+W14</f>
        <v/>
      </c>
      <c r="AA14" s="318">
        <f>Y14+Z14*2</f>
        <v/>
      </c>
      <c r="AB14" s="316">
        <f>AB6+AA14+AA15+AA16+AA17+AA18+AA19-(D102+E102)</f>
        <v/>
      </c>
      <c r="AC14" s="317">
        <f>AC6+AA14+AA15+AA16+AA17+AA18-(D102+E102-(D99+E99*2))</f>
        <v/>
      </c>
      <c r="AD14" s="319">
        <f>IF(AA$2&gt;0,AB14/AA$2,0)</f>
        <v/>
      </c>
      <c r="AE14" s="320">
        <f>IF(AA$2&gt;0,AC14/AA$2,0)</f>
        <v/>
      </c>
      <c r="AF14" s="316" t="n"/>
      <c r="AG14" s="431" t="n"/>
      <c r="AH14" s="318" t="n"/>
    </row>
    <row r="15" ht="15" customHeight="1" s="1">
      <c r="A15" s="277" t="n"/>
      <c r="B15" s="127" t="n"/>
      <c r="C15" s="312" t="inlineStr">
        <is>
          <t>SUL</t>
        </is>
      </c>
      <c r="D15" s="429" t="n"/>
      <c r="E15" s="430" t="n"/>
      <c r="F15" s="429" t="n"/>
      <c r="G15" s="430" t="n"/>
      <c r="H15" s="429" t="n"/>
      <c r="I15" s="430" t="n"/>
      <c r="J15" s="429" t="n"/>
      <c r="K15" s="430" t="n"/>
      <c r="L15" s="429" t="n"/>
      <c r="M15" s="430" t="n"/>
      <c r="N15" s="429" t="n"/>
      <c r="O15" s="430" t="n"/>
      <c r="P15" s="429" t="n"/>
      <c r="Q15" s="430" t="n"/>
      <c r="R15" s="429" t="n"/>
      <c r="S15" s="430" t="n"/>
      <c r="T15" s="429" t="n"/>
      <c r="U15" s="430" t="n"/>
      <c r="V15" s="429" t="n"/>
      <c r="W15" s="430" t="n"/>
      <c r="X15" s="315" t="n"/>
      <c r="Y15" s="316">
        <f>D15+F15+H15+J15+L15+N15+P15+R15+T15+V15</f>
        <v/>
      </c>
      <c r="Z15" s="317">
        <f>E15+G15+I15+K15+M15+O15+Q15+S15+U15+W15</f>
        <v/>
      </c>
      <c r="AA15" s="318">
        <f>Y15+Z15*2</f>
        <v/>
      </c>
      <c r="AB15" s="316" t="n"/>
      <c r="AC15" s="317" t="n"/>
      <c r="AD15" s="316" t="n"/>
      <c r="AE15" s="317" t="n"/>
      <c r="AF15" s="316" t="n"/>
      <c r="AG15" s="431" t="n"/>
      <c r="AH15" s="318" t="n"/>
    </row>
    <row r="16" ht="15" customHeight="1" s="1">
      <c r="A16" s="277" t="n"/>
      <c r="B16" s="127" t="n"/>
      <c r="C16" s="312" t="inlineStr">
        <is>
          <t>T/S</t>
        </is>
      </c>
      <c r="D16" s="429" t="n"/>
      <c r="E16" s="430" t="n"/>
      <c r="F16" s="429" t="n"/>
      <c r="G16" s="430" t="n"/>
      <c r="H16" s="429" t="n"/>
      <c r="I16" s="430" t="n"/>
      <c r="J16" s="429" t="n"/>
      <c r="K16" s="430" t="n"/>
      <c r="L16" s="429" t="n"/>
      <c r="M16" s="430" t="n"/>
      <c r="N16" s="429" t="n"/>
      <c r="O16" s="430" t="n"/>
      <c r="P16" s="429" t="n"/>
      <c r="Q16" s="430" t="n"/>
      <c r="R16" s="429" t="n"/>
      <c r="S16" s="430" t="n"/>
      <c r="T16" s="429" t="n"/>
      <c r="U16" s="430" t="n"/>
      <c r="V16" s="429" t="n"/>
      <c r="W16" s="430" t="n"/>
      <c r="X16" s="315" t="n"/>
      <c r="Y16" s="316">
        <f>D16+F16+H16+J16+L16+N16+P16+R16+T16+V16</f>
        <v/>
      </c>
      <c r="Z16" s="317">
        <f>E16+G16+I16+K16+M16+O16+Q16+S16+U16+W16</f>
        <v/>
      </c>
      <c r="AA16" s="318">
        <f>Y16+Z16*2</f>
        <v/>
      </c>
      <c r="AB16" s="316" t="n"/>
      <c r="AC16" s="317" t="n"/>
      <c r="AD16" s="316" t="n"/>
      <c r="AE16" s="317" t="n"/>
      <c r="AF16" s="316" t="n"/>
      <c r="AG16" s="431" t="n"/>
      <c r="AH16" s="318" t="n"/>
    </row>
    <row r="17" ht="15" customHeight="1" s="1">
      <c r="A17" s="277" t="n"/>
      <c r="B17" s="127" t="n"/>
      <c r="C17" s="312" t="inlineStr">
        <is>
          <t>SOC</t>
        </is>
      </c>
      <c r="D17" s="429" t="n"/>
      <c r="E17" s="430" t="n"/>
      <c r="F17" s="429" t="n"/>
      <c r="G17" s="430" t="n"/>
      <c r="H17" s="429" t="n"/>
      <c r="I17" s="430" t="n"/>
      <c r="J17" s="429" t="n"/>
      <c r="K17" s="430" t="n"/>
      <c r="L17" s="429" t="n"/>
      <c r="M17" s="430" t="n"/>
      <c r="N17" s="429" t="n"/>
      <c r="O17" s="430" t="n"/>
      <c r="P17" s="429" t="n"/>
      <c r="Q17" s="430" t="n"/>
      <c r="R17" s="429" t="n"/>
      <c r="S17" s="430" t="n"/>
      <c r="T17" s="429" t="n"/>
      <c r="U17" s="430" t="n"/>
      <c r="V17" s="429" t="n"/>
      <c r="W17" s="430" t="n"/>
      <c r="X17" s="315" t="n"/>
      <c r="Y17" s="316">
        <f>D17+F17+H17+J17+L17+N17+P17+R17+T17+V17</f>
        <v/>
      </c>
      <c r="Z17" s="317">
        <f>E17+G17+I17+K17+M17+O17+Q17+S17+U17+W17</f>
        <v/>
      </c>
      <c r="AA17" s="318">
        <f>Y17+Z17*2</f>
        <v/>
      </c>
      <c r="AB17" s="316" t="n"/>
      <c r="AC17" s="317" t="n"/>
      <c r="AD17" s="316" t="n"/>
      <c r="AE17" s="317" t="n"/>
      <c r="AF17" s="316" t="n"/>
      <c r="AG17" s="431" t="n"/>
      <c r="AH17" s="318" t="n"/>
    </row>
    <row r="18" ht="15" customHeight="1" s="1">
      <c r="A18" s="277" t="n"/>
      <c r="B18" s="127" t="n"/>
      <c r="C18" s="312" t="inlineStr">
        <is>
          <t>RF</t>
        </is>
      </c>
      <c r="D18" s="429" t="n"/>
      <c r="E18" s="430" t="n"/>
      <c r="F18" s="429" t="n"/>
      <c r="G18" s="430" t="n"/>
      <c r="H18" s="429" t="n"/>
      <c r="I18" s="430" t="n"/>
      <c r="J18" s="429" t="n"/>
      <c r="K18" s="430" t="n"/>
      <c r="L18" s="429" t="n"/>
      <c r="M18" s="430" t="n"/>
      <c r="N18" s="429" t="n"/>
      <c r="O18" s="430" t="n"/>
      <c r="P18" s="429" t="n"/>
      <c r="Q18" s="430" t="n"/>
      <c r="R18" s="429" t="n"/>
      <c r="S18" s="430" t="n"/>
      <c r="T18" s="429" t="n"/>
      <c r="U18" s="430" t="n"/>
      <c r="V18" s="429" t="n"/>
      <c r="W18" s="430" t="n"/>
      <c r="X18" s="315" t="n"/>
      <c r="Y18" s="316">
        <f>D18+F18+H18+J18+L18+N18+P18+R18+T18+V18</f>
        <v/>
      </c>
      <c r="Z18" s="317">
        <f>E18+G18+I18+K18+M18+O18+Q18+S18+U18+W18</f>
        <v/>
      </c>
      <c r="AA18" s="318">
        <f>Y18+Z18*2</f>
        <v/>
      </c>
      <c r="AB18" s="316" t="n"/>
      <c r="AC18" s="317" t="n"/>
      <c r="AD18" s="316" t="n"/>
      <c r="AE18" s="317" t="n"/>
      <c r="AF18" s="316" t="n"/>
      <c r="AG18" s="431" t="n"/>
      <c r="AH18" s="318">
        <f>AH10-Y18-Z18+D98+E98</f>
        <v/>
      </c>
    </row>
    <row r="19" ht="15" customHeight="1" s="1">
      <c r="A19" s="311" t="inlineStr">
        <is>
          <t>ETB</t>
        </is>
      </c>
      <c r="B19" s="327" t="inlineStr">
        <is>
          <t>06/28</t>
        </is>
      </c>
      <c r="C19" s="312" t="inlineStr">
        <is>
          <t>MT</t>
        </is>
      </c>
      <c r="D19" s="429" t="n"/>
      <c r="E19" s="430" t="n"/>
      <c r="F19" s="429" t="n"/>
      <c r="G19" s="430" t="n"/>
      <c r="H19" s="429" t="n"/>
      <c r="I19" s="430" t="n"/>
      <c r="J19" s="429" t="n"/>
      <c r="K19" s="430" t="n"/>
      <c r="L19" s="429" t="n"/>
      <c r="M19" s="430" t="n"/>
      <c r="N19" s="429" t="n"/>
      <c r="O19" s="430" t="n"/>
      <c r="P19" s="429" t="n"/>
      <c r="Q19" s="430" t="n"/>
      <c r="R19" s="429" t="n"/>
      <c r="S19" s="430" t="n"/>
      <c r="T19" s="429" t="n"/>
      <c r="U19" s="430" t="n"/>
      <c r="V19" s="429" t="n"/>
      <c r="W19" s="430" t="n"/>
      <c r="X19" s="315" t="n"/>
      <c r="Y19" s="316">
        <f>D19+F19+H19+J19+L19+N19+P19+R19+T19+V19</f>
        <v/>
      </c>
      <c r="Z19" s="317">
        <f>E19+G19+I19+K19+M19+O19+Q19+S19+U19+W19</f>
        <v/>
      </c>
      <c r="AA19" s="318">
        <f>Y19+Z19*2</f>
        <v/>
      </c>
      <c r="AB19" s="316" t="n"/>
      <c r="AC19" s="317" t="n"/>
      <c r="AD19" s="316" t="n"/>
      <c r="AE19" s="317" t="n"/>
      <c r="AF19" s="316" t="n"/>
      <c r="AG19" s="431" t="n"/>
      <c r="AH19" s="318" t="n"/>
    </row>
    <row r="20" ht="15" customHeight="1" s="1">
      <c r="A20" s="311" t="inlineStr">
        <is>
          <t>ETD</t>
        </is>
      </c>
      <c r="B20" s="327" t="inlineStr">
        <is>
          <t>06/29</t>
        </is>
      </c>
      <c r="C20" s="312" t="inlineStr">
        <is>
          <t>Weight</t>
        </is>
      </c>
      <c r="D20" s="328" t="n"/>
      <c r="E20" s="272" t="n"/>
      <c r="F20" s="328" t="n"/>
      <c r="G20" s="272" t="n"/>
      <c r="H20" s="328" t="n"/>
      <c r="I20" s="272" t="n"/>
      <c r="J20" s="328" t="n"/>
      <c r="K20" s="272" t="n"/>
      <c r="L20" s="328" t="n"/>
      <c r="M20" s="272" t="n"/>
      <c r="N20" s="328" t="n"/>
      <c r="O20" s="272" t="n"/>
      <c r="P20" s="328" t="n"/>
      <c r="Q20" s="272" t="n"/>
      <c r="R20" s="328" t="n"/>
      <c r="S20" s="272" t="n"/>
      <c r="T20" s="328" t="n"/>
      <c r="U20" s="272" t="n"/>
      <c r="V20" s="328" t="n"/>
      <c r="W20" s="272" t="n"/>
      <c r="X20" s="173" t="n"/>
      <c r="Y20" s="432">
        <f>D20+F20+H20+J20+L20+N20+P20+R20+T20+V20</f>
        <v/>
      </c>
      <c r="Z20" s="433" t="n"/>
      <c r="AA20" s="432" t="n"/>
      <c r="AB20" s="330">
        <f>AB12+Y20-(D103)</f>
        <v/>
      </c>
      <c r="AC20" s="332">
        <f>AB20-(AB14-AC14)*2</f>
        <v/>
      </c>
      <c r="AD20" s="333">
        <f>IF(AD$2&gt;0,AB20/AD$2,0)</f>
        <v/>
      </c>
      <c r="AE20" s="334">
        <f>IF(AD$2&gt;0,AC20/AD$2,0)</f>
        <v/>
      </c>
      <c r="AF20" s="330" t="n"/>
      <c r="AG20" s="332">
        <f>AD$2-AB20</f>
        <v/>
      </c>
      <c r="AH20" s="432" t="n"/>
    </row>
    <row r="21" ht="15" customHeight="1" s="1">
      <c r="A21" s="434" t="n"/>
      <c r="B21" s="130" t="n"/>
      <c r="C21" s="337" t="inlineStr">
        <is>
          <t>TTL</t>
        </is>
      </c>
      <c r="D21" s="338">
        <f>D14+D15+D16+D17+D18+D19</f>
        <v/>
      </c>
      <c r="E21" s="339">
        <f>E14+E15+E16+E17+E18+E19</f>
        <v/>
      </c>
      <c r="F21" s="338">
        <f>F14+F15+F16+F17+F18+F19</f>
        <v/>
      </c>
      <c r="G21" s="339">
        <f>G14+G15+G16+G17+G18+G19</f>
        <v/>
      </c>
      <c r="H21" s="338">
        <f>H14+H15+H16+H17+H18+H19</f>
        <v/>
      </c>
      <c r="I21" s="339">
        <f>I14+I15+I16+I17+I18+I19</f>
        <v/>
      </c>
      <c r="J21" s="338">
        <f>J14+J15+J16+J17+J18+J19</f>
        <v/>
      </c>
      <c r="K21" s="339">
        <f>K14+K15+K16+K17+K18+K19</f>
        <v/>
      </c>
      <c r="L21" s="338">
        <f>L14+L15+L16+L17+L18+L19</f>
        <v/>
      </c>
      <c r="M21" s="339">
        <f>M14+M15+M16+M17+M18+M19</f>
        <v/>
      </c>
      <c r="N21" s="338">
        <f>N14+N15+N16+N17+N18+N19</f>
        <v/>
      </c>
      <c r="O21" s="339">
        <f>O14+O15+O16+O17+O18+O19</f>
        <v/>
      </c>
      <c r="P21" s="338">
        <f>P14+P15+P16+P17+P18+P19</f>
        <v/>
      </c>
      <c r="Q21" s="339">
        <f>Q14+Q15+Q16+Q17+Q18+Q19</f>
        <v/>
      </c>
      <c r="R21" s="338">
        <f>R14+R15+R16+R17+R18+R19</f>
        <v/>
      </c>
      <c r="S21" s="339">
        <f>S14+S15+S16+S17+S18+S19</f>
        <v/>
      </c>
      <c r="T21" s="338">
        <f>T14+T15+T16+T17+T18+T19</f>
        <v/>
      </c>
      <c r="U21" s="339">
        <f>U14+U15+U16+U17+U18+U19</f>
        <v/>
      </c>
      <c r="V21" s="338">
        <f>V14+V15+V16+V17+V18+V19</f>
        <v/>
      </c>
      <c r="W21" s="339">
        <f>W14+W15+W16+W17+W18+W19</f>
        <v/>
      </c>
      <c r="X21" s="173" t="n"/>
      <c r="Y21" s="340">
        <f>Y14+Y15+Y16+Y17+Y18+Y19</f>
        <v/>
      </c>
      <c r="Z21" s="341">
        <f>Z14+Z15+Z16+Z17+Z18+Z19</f>
        <v/>
      </c>
      <c r="AA21" s="176">
        <f>AA14+AA15+AA16+AA17+AA18+AA19</f>
        <v/>
      </c>
      <c r="AB21" s="340" t="n"/>
      <c r="AC21" s="341" t="n"/>
      <c r="AD21" s="340" t="n"/>
      <c r="AE21" s="341" t="n"/>
      <c r="AF21" s="340">
        <f>$AA$2-AB14</f>
        <v/>
      </c>
      <c r="AG21" s="332" t="n"/>
      <c r="AH21" s="176" t="n"/>
    </row>
    <row r="22" ht="15" customHeight="1" s="1">
      <c r="A22" s="428" t="inlineStr">
        <is>
          <t>CNSHA</t>
        </is>
      </c>
      <c r="B22" s="127" t="n"/>
      <c r="C22" s="312" t="inlineStr">
        <is>
          <t>LILIAN</t>
        </is>
      </c>
      <c r="D22" s="429" t="n"/>
      <c r="E22" s="430" t="n"/>
      <c r="F22" s="429" t="n"/>
      <c r="G22" s="430" t="n"/>
      <c r="H22" s="429" t="n"/>
      <c r="I22" s="430" t="n"/>
      <c r="J22" s="429" t="n"/>
      <c r="K22" s="430" t="n"/>
      <c r="L22" s="429" t="n"/>
      <c r="M22" s="430" t="n"/>
      <c r="N22" s="429" t="n"/>
      <c r="O22" s="430" t="n"/>
      <c r="P22" s="429" t="n"/>
      <c r="Q22" s="430" t="n"/>
      <c r="R22" s="429" t="n"/>
      <c r="S22" s="430" t="n"/>
      <c r="T22" s="429" t="n"/>
      <c r="U22" s="430" t="n"/>
      <c r="V22" s="429" t="n"/>
      <c r="W22" s="430" t="n"/>
      <c r="X22" s="315" t="n"/>
      <c r="Y22" s="316">
        <f>D22+F22+H22+J22+L22+N22+P22+R22+T22+V22</f>
        <v/>
      </c>
      <c r="Z22" s="317">
        <f>E22+G22+I22+K22+M22+O22+Q22+S22+U22+W22</f>
        <v/>
      </c>
      <c r="AA22" s="318">
        <f>Y22+Z22*2</f>
        <v/>
      </c>
      <c r="AB22" s="316">
        <f>AB14+AA22+AA23+AA24+AA25+AA26+AA27-(F102+G102)</f>
        <v/>
      </c>
      <c r="AC22" s="317">
        <f>AC14+AA22+AA23+AA24+AA25+AA26-(F102+G102-(F99+G99*2))</f>
        <v/>
      </c>
      <c r="AD22" s="319">
        <f>IF(AA$2&gt;0,AB22/AA$2,0)</f>
        <v/>
      </c>
      <c r="AE22" s="320">
        <f>IF(AA$2&gt;0,AC22/AA$2,0)</f>
        <v/>
      </c>
      <c r="AF22" s="316" t="n"/>
      <c r="AG22" s="431" t="n"/>
      <c r="AH22" s="318" t="n"/>
    </row>
    <row r="23" ht="15" customHeight="1" s="1">
      <c r="A23" s="277" t="n"/>
      <c r="B23" s="127" t="n"/>
      <c r="C23" s="312" t="inlineStr">
        <is>
          <t>SUL</t>
        </is>
      </c>
      <c r="D23" s="429" t="n"/>
      <c r="E23" s="430" t="n"/>
      <c r="F23" s="429" t="n"/>
      <c r="G23" s="430" t="n"/>
      <c r="H23" s="429" t="n"/>
      <c r="I23" s="430" t="n"/>
      <c r="J23" s="429" t="n"/>
      <c r="K23" s="430" t="n"/>
      <c r="L23" s="429" t="n"/>
      <c r="M23" s="430" t="n"/>
      <c r="N23" s="429" t="n"/>
      <c r="O23" s="430" t="n"/>
      <c r="P23" s="429" t="n"/>
      <c r="Q23" s="430" t="n"/>
      <c r="R23" s="429" t="n"/>
      <c r="S23" s="430" t="n"/>
      <c r="T23" s="429" t="n"/>
      <c r="U23" s="430" t="n"/>
      <c r="V23" s="429" t="n"/>
      <c r="W23" s="430" t="n"/>
      <c r="X23" s="315" t="n"/>
      <c r="Y23" s="316">
        <f>D23+F23+H23+J23+L23+N23+P23+R23+T23+V23</f>
        <v/>
      </c>
      <c r="Z23" s="317">
        <f>E23+G23+I23+K23+M23+O23+Q23+S23+U23+W23</f>
        <v/>
      </c>
      <c r="AA23" s="318">
        <f>Y23+Z23*2</f>
        <v/>
      </c>
      <c r="AB23" s="316" t="n"/>
      <c r="AC23" s="317" t="n"/>
      <c r="AD23" s="316" t="n"/>
      <c r="AE23" s="317" t="n"/>
      <c r="AF23" s="316" t="n"/>
      <c r="AG23" s="431" t="n"/>
      <c r="AH23" s="318" t="n"/>
    </row>
    <row r="24" ht="15" customHeight="1" s="1">
      <c r="A24" s="277" t="n"/>
      <c r="B24" s="127" t="n"/>
      <c r="C24" s="312" t="inlineStr">
        <is>
          <t>T/S</t>
        </is>
      </c>
      <c r="D24" s="429" t="n"/>
      <c r="E24" s="430" t="n"/>
      <c r="F24" s="429" t="n"/>
      <c r="G24" s="430" t="n"/>
      <c r="H24" s="429" t="n"/>
      <c r="I24" s="430" t="n"/>
      <c r="J24" s="429" t="n"/>
      <c r="K24" s="430" t="n"/>
      <c r="L24" s="429" t="n"/>
      <c r="M24" s="430" t="n"/>
      <c r="N24" s="429" t="n"/>
      <c r="O24" s="430" t="n"/>
      <c r="P24" s="429" t="n"/>
      <c r="Q24" s="430" t="n"/>
      <c r="R24" s="429" t="n"/>
      <c r="S24" s="430" t="n"/>
      <c r="T24" s="429" t="n"/>
      <c r="U24" s="430" t="n"/>
      <c r="V24" s="429" t="n"/>
      <c r="W24" s="430" t="n"/>
      <c r="X24" s="315" t="n"/>
      <c r="Y24" s="316">
        <f>D24+F24+H24+J24+L24+N24+P24+R24+T24+V24</f>
        <v/>
      </c>
      <c r="Z24" s="317">
        <f>E24+G24+I24+K24+M24+O24+Q24+S24+U24+W24</f>
        <v/>
      </c>
      <c r="AA24" s="318">
        <f>Y24+Z24*2</f>
        <v/>
      </c>
      <c r="AB24" s="316" t="n"/>
      <c r="AC24" s="317" t="n"/>
      <c r="AD24" s="316" t="n"/>
      <c r="AE24" s="317" t="n"/>
      <c r="AF24" s="316" t="n"/>
      <c r="AG24" s="431" t="n"/>
      <c r="AH24" s="318" t="n"/>
    </row>
    <row r="25" ht="15" customHeight="1" s="1">
      <c r="A25" s="277" t="n"/>
      <c r="B25" s="127" t="n"/>
      <c r="C25" s="312" t="inlineStr">
        <is>
          <t>SOC</t>
        </is>
      </c>
      <c r="D25" s="429" t="n"/>
      <c r="E25" s="430" t="n"/>
      <c r="F25" s="429" t="n"/>
      <c r="G25" s="430" t="n"/>
      <c r="H25" s="429" t="n"/>
      <c r="I25" s="430" t="n"/>
      <c r="J25" s="429" t="n"/>
      <c r="K25" s="430" t="n"/>
      <c r="L25" s="429" t="n"/>
      <c r="M25" s="430" t="n"/>
      <c r="N25" s="429" t="n"/>
      <c r="O25" s="430" t="n"/>
      <c r="P25" s="429" t="n"/>
      <c r="Q25" s="430" t="n"/>
      <c r="R25" s="429" t="n"/>
      <c r="S25" s="430" t="n"/>
      <c r="T25" s="429" t="n"/>
      <c r="U25" s="430" t="n"/>
      <c r="V25" s="429" t="n"/>
      <c r="W25" s="430" t="n"/>
      <c r="X25" s="315" t="n"/>
      <c r="Y25" s="316">
        <f>D25+F25+H25+J25+L25+N25+P25+R25+T25+V25</f>
        <v/>
      </c>
      <c r="Z25" s="317">
        <f>E25+G25+I25+K25+M25+O25+Q25+S25+U25+W25</f>
        <v/>
      </c>
      <c r="AA25" s="318">
        <f>Y25+Z25*2</f>
        <v/>
      </c>
      <c r="AB25" s="316" t="n"/>
      <c r="AC25" s="317" t="n"/>
      <c r="AD25" s="316" t="n"/>
      <c r="AE25" s="317" t="n"/>
      <c r="AF25" s="316" t="n"/>
      <c r="AG25" s="431" t="n"/>
      <c r="AH25" s="318" t="n"/>
    </row>
    <row r="26" ht="15" customHeight="1" s="1">
      <c r="A26" s="277" t="n"/>
      <c r="B26" s="127" t="n"/>
      <c r="C26" s="312" t="inlineStr">
        <is>
          <t>RF</t>
        </is>
      </c>
      <c r="D26" s="429" t="n"/>
      <c r="E26" s="430" t="n"/>
      <c r="F26" s="429" t="n"/>
      <c r="G26" s="430" t="n"/>
      <c r="H26" s="429" t="n"/>
      <c r="I26" s="430" t="n"/>
      <c r="J26" s="429" t="n"/>
      <c r="K26" s="430" t="n"/>
      <c r="L26" s="429" t="n"/>
      <c r="M26" s="430" t="n"/>
      <c r="N26" s="429" t="n"/>
      <c r="O26" s="430" t="n"/>
      <c r="P26" s="429" t="n"/>
      <c r="Q26" s="430" t="n"/>
      <c r="R26" s="429" t="n"/>
      <c r="S26" s="430" t="n"/>
      <c r="T26" s="429" t="n"/>
      <c r="U26" s="430" t="n"/>
      <c r="V26" s="429" t="n"/>
      <c r="W26" s="430" t="n"/>
      <c r="X26" s="315" t="n"/>
      <c r="Y26" s="316">
        <f>D26+F26+H26+J26+L26+N26+P26+R26+T26+V26</f>
        <v/>
      </c>
      <c r="Z26" s="317">
        <f>E26+G26+I26+K26+M26+O26+Q26+S26+U26+W26</f>
        <v/>
      </c>
      <c r="AA26" s="318">
        <f>Y26+Z26*2</f>
        <v/>
      </c>
      <c r="AB26" s="316" t="n"/>
      <c r="AC26" s="317" t="n"/>
      <c r="AD26" s="316" t="n"/>
      <c r="AE26" s="317" t="n"/>
      <c r="AF26" s="316" t="n"/>
      <c r="AG26" s="431" t="n"/>
      <c r="AH26" s="318">
        <f>AH18-Y26-Z26+F98+G98</f>
        <v/>
      </c>
    </row>
    <row r="27" ht="15" customHeight="1" s="1">
      <c r="A27" s="311" t="inlineStr">
        <is>
          <t>ETB</t>
        </is>
      </c>
      <c r="B27" s="327" t="inlineStr">
        <is>
          <t>07/02</t>
        </is>
      </c>
      <c r="C27" s="312" t="inlineStr">
        <is>
          <t>MT</t>
        </is>
      </c>
      <c r="D27" s="429" t="n"/>
      <c r="E27" s="430" t="n"/>
      <c r="F27" s="429" t="n"/>
      <c r="G27" s="430" t="n"/>
      <c r="H27" s="429" t="n"/>
      <c r="I27" s="430" t="n"/>
      <c r="J27" s="429" t="n"/>
      <c r="K27" s="430" t="n"/>
      <c r="L27" s="429" t="n"/>
      <c r="M27" s="430" t="n"/>
      <c r="N27" s="429" t="n"/>
      <c r="O27" s="430" t="n"/>
      <c r="P27" s="429" t="n"/>
      <c r="Q27" s="430" t="n"/>
      <c r="R27" s="429" t="n"/>
      <c r="S27" s="430" t="n"/>
      <c r="T27" s="429" t="n"/>
      <c r="U27" s="430" t="n"/>
      <c r="V27" s="429" t="n"/>
      <c r="W27" s="430" t="n"/>
      <c r="X27" s="315" t="n"/>
      <c r="Y27" s="316">
        <f>D27+F27+H27+J27+L27+N27+P27+R27+T27+V27</f>
        <v/>
      </c>
      <c r="Z27" s="317">
        <f>E27+G27+I27+K27+M27+O27+Q27+S27+U27+W27</f>
        <v/>
      </c>
      <c r="AA27" s="318">
        <f>Y27+Z27*2</f>
        <v/>
      </c>
      <c r="AB27" s="316" t="n"/>
      <c r="AC27" s="317" t="n"/>
      <c r="AD27" s="316" t="n"/>
      <c r="AE27" s="317" t="n"/>
      <c r="AF27" s="316" t="n"/>
      <c r="AG27" s="431" t="n"/>
      <c r="AH27" s="318" t="n"/>
    </row>
    <row r="28" ht="15" customHeight="1" s="1">
      <c r="A28" s="311" t="inlineStr">
        <is>
          <t>ETD</t>
        </is>
      </c>
      <c r="B28" s="327" t="inlineStr">
        <is>
          <t>07/03</t>
        </is>
      </c>
      <c r="C28" s="312" t="inlineStr">
        <is>
          <t>Weight</t>
        </is>
      </c>
      <c r="D28" s="328" t="n"/>
      <c r="E28" s="272" t="n"/>
      <c r="F28" s="328" t="n"/>
      <c r="G28" s="272" t="n"/>
      <c r="H28" s="328" t="n"/>
      <c r="I28" s="272" t="n"/>
      <c r="J28" s="328" t="n"/>
      <c r="K28" s="272" t="n"/>
      <c r="L28" s="328" t="n"/>
      <c r="M28" s="272" t="n"/>
      <c r="N28" s="328" t="n"/>
      <c r="O28" s="272" t="n"/>
      <c r="P28" s="328" t="n"/>
      <c r="Q28" s="272" t="n"/>
      <c r="R28" s="328" t="n"/>
      <c r="S28" s="272" t="n"/>
      <c r="T28" s="328" t="n"/>
      <c r="U28" s="272" t="n"/>
      <c r="V28" s="328" t="n"/>
      <c r="W28" s="272" t="n"/>
      <c r="X28" s="173" t="n"/>
      <c r="Y28" s="432">
        <f>D28+F28+H28+J28+L28+N28+P28+R28+T28+V28</f>
        <v/>
      </c>
      <c r="Z28" s="433" t="n"/>
      <c r="AA28" s="432" t="n"/>
      <c r="AB28" s="330">
        <f>AB20+Y28-(F103)</f>
        <v/>
      </c>
      <c r="AC28" s="332">
        <f>AB28-(AB22-AC22)*2</f>
        <v/>
      </c>
      <c r="AD28" s="333">
        <f>IF(AD$2&gt;0,AB28/AD$2,0)</f>
        <v/>
      </c>
      <c r="AE28" s="334">
        <f>IF(AD$2&gt;0,AC28/AD$2,0)</f>
        <v/>
      </c>
      <c r="AF28" s="330" t="n"/>
      <c r="AG28" s="332">
        <f>AD$2-AB28</f>
        <v/>
      </c>
      <c r="AH28" s="432" t="n"/>
    </row>
    <row r="29" ht="15" customHeight="1" s="1">
      <c r="A29" s="434" t="n"/>
      <c r="B29" s="130" t="n"/>
      <c r="C29" s="337" t="inlineStr">
        <is>
          <t>TTL</t>
        </is>
      </c>
      <c r="D29" s="338">
        <f>D22+D23+D24+D25+D26+D27</f>
        <v/>
      </c>
      <c r="E29" s="339">
        <f>E22+E23+E24+E25+E26+E27</f>
        <v/>
      </c>
      <c r="F29" s="338">
        <f>F22+F23+F24+F25+F26+F27</f>
        <v/>
      </c>
      <c r="G29" s="339">
        <f>G22+G23+G24+G25+G26+G27</f>
        <v/>
      </c>
      <c r="H29" s="338">
        <f>H22+H23+H24+H25+H26+H27</f>
        <v/>
      </c>
      <c r="I29" s="339">
        <f>I22+I23+I24+I25+I26+I27</f>
        <v/>
      </c>
      <c r="J29" s="338">
        <f>J22+J23+J24+J25+J26+J27</f>
        <v/>
      </c>
      <c r="K29" s="339">
        <f>K22+K23+K24+K25+K26+K27</f>
        <v/>
      </c>
      <c r="L29" s="338">
        <f>L22+L23+L24+L25+L26+L27</f>
        <v/>
      </c>
      <c r="M29" s="339">
        <f>M22+M23+M24+M25+M26+M27</f>
        <v/>
      </c>
      <c r="N29" s="338">
        <f>N22+N23+N24+N25+N26+N27</f>
        <v/>
      </c>
      <c r="O29" s="339">
        <f>O22+O23+O24+O25+O26+O27</f>
        <v/>
      </c>
      <c r="P29" s="338">
        <f>P22+P23+P24+P25+P26+P27</f>
        <v/>
      </c>
      <c r="Q29" s="339">
        <f>Q22+Q23+Q24+Q25+Q26+Q27</f>
        <v/>
      </c>
      <c r="R29" s="338">
        <f>R22+R23+R24+R25+R26+R27</f>
        <v/>
      </c>
      <c r="S29" s="339">
        <f>S22+S23+S24+S25+S26+S27</f>
        <v/>
      </c>
      <c r="T29" s="338">
        <f>T22+T23+T24+T25+T26+T27</f>
        <v/>
      </c>
      <c r="U29" s="339">
        <f>U22+U23+U24+U25+U26+U27</f>
        <v/>
      </c>
      <c r="V29" s="338">
        <f>V22+V23+V24+V25+V26+V27</f>
        <v/>
      </c>
      <c r="W29" s="339">
        <f>W22+W23+W24+W25+W26+W27</f>
        <v/>
      </c>
      <c r="X29" s="173" t="n"/>
      <c r="Y29" s="340">
        <f>Y22+Y23+Y24+Y25+Y26+Y27</f>
        <v/>
      </c>
      <c r="Z29" s="341">
        <f>Z22+Z23+Z24+Z25+Z26+Z27</f>
        <v/>
      </c>
      <c r="AA29" s="176">
        <f>AA22+AA23+AA24+AA25+AA26+AA27</f>
        <v/>
      </c>
      <c r="AB29" s="340" t="n"/>
      <c r="AC29" s="341" t="n"/>
      <c r="AD29" s="340" t="n"/>
      <c r="AE29" s="341" t="n"/>
      <c r="AF29" s="340">
        <f>$AA$2-AB22</f>
        <v/>
      </c>
      <c r="AG29" s="332" t="n"/>
      <c r="AH29" s="176" t="n"/>
    </row>
    <row r="30" ht="15" customHeight="1" s="1">
      <c r="A30" s="428" t="inlineStr">
        <is>
          <t>CNNGB</t>
        </is>
      </c>
      <c r="B30" s="127" t="n"/>
      <c r="C30" s="312" t="inlineStr">
        <is>
          <t>LILIAN</t>
        </is>
      </c>
      <c r="D30" s="429" t="n"/>
      <c r="E30" s="430" t="n"/>
      <c r="F30" s="429" t="n"/>
      <c r="G30" s="430" t="n"/>
      <c r="H30" s="429" t="n"/>
      <c r="I30" s="430" t="n"/>
      <c r="J30" s="429" t="n"/>
      <c r="K30" s="430" t="n"/>
      <c r="L30" s="429" t="n"/>
      <c r="M30" s="430" t="n"/>
      <c r="N30" s="429" t="n"/>
      <c r="O30" s="430" t="n"/>
      <c r="P30" s="429" t="n"/>
      <c r="Q30" s="430" t="n"/>
      <c r="R30" s="429" t="n"/>
      <c r="S30" s="430" t="n"/>
      <c r="T30" s="429" t="n"/>
      <c r="U30" s="430" t="n"/>
      <c r="V30" s="429" t="n"/>
      <c r="W30" s="430" t="n"/>
      <c r="X30" s="315" t="n"/>
      <c r="Y30" s="316">
        <f>D30+F30+H30+J30+L30+N30+P30+R30+T30+V30</f>
        <v/>
      </c>
      <c r="Z30" s="317">
        <f>E30+G30+I30+K30+M30+O30+Q30+S30+U30+W30</f>
        <v/>
      </c>
      <c r="AA30" s="318">
        <f>Y30+Z30*2</f>
        <v/>
      </c>
      <c r="AB30" s="316">
        <f>AB22+AA30+AA31+AA32+AA33+AA34+AA35-(H102+I102)</f>
        <v/>
      </c>
      <c r="AC30" s="317">
        <f>AC22+AA30+AA31+AA32+AA33+AA34-(H102+I102-(H99+I99*2))</f>
        <v/>
      </c>
      <c r="AD30" s="319">
        <f>IF(AA$2&gt;0,AB30/AA$2,0)</f>
        <v/>
      </c>
      <c r="AE30" s="320">
        <f>IF(AA$2&gt;0,AC30/AA$2,0)</f>
        <v/>
      </c>
      <c r="AF30" s="316" t="n"/>
      <c r="AG30" s="431" t="n"/>
      <c r="AH30" s="318" t="n"/>
    </row>
    <row r="31" ht="15" customHeight="1" s="1">
      <c r="A31" s="277" t="n"/>
      <c r="B31" s="127" t="n"/>
      <c r="C31" s="312" t="inlineStr">
        <is>
          <t>SUL</t>
        </is>
      </c>
      <c r="D31" s="429" t="n"/>
      <c r="E31" s="430" t="n"/>
      <c r="F31" s="429" t="n"/>
      <c r="G31" s="430" t="n"/>
      <c r="H31" s="429" t="n"/>
      <c r="I31" s="430" t="n"/>
      <c r="J31" s="429" t="n"/>
      <c r="K31" s="430" t="n"/>
      <c r="L31" s="429" t="n"/>
      <c r="M31" s="430" t="n"/>
      <c r="N31" s="429" t="n"/>
      <c r="O31" s="430" t="n"/>
      <c r="P31" s="429" t="n"/>
      <c r="Q31" s="430" t="n"/>
      <c r="R31" s="429" t="n"/>
      <c r="S31" s="430" t="n"/>
      <c r="T31" s="429" t="n"/>
      <c r="U31" s="430" t="n"/>
      <c r="V31" s="429" t="n"/>
      <c r="W31" s="430" t="n"/>
      <c r="X31" s="315" t="n"/>
      <c r="Y31" s="316">
        <f>D31+F31+H31+J31+L31+N31+P31+R31+T31+V31</f>
        <v/>
      </c>
      <c r="Z31" s="317">
        <f>E31+G31+I31+K31+M31+O31+Q31+S31+U31+W31</f>
        <v/>
      </c>
      <c r="AA31" s="318">
        <f>Y31+Z31*2</f>
        <v/>
      </c>
      <c r="AB31" s="316" t="n"/>
      <c r="AC31" s="317" t="n"/>
      <c r="AD31" s="316" t="n"/>
      <c r="AE31" s="317" t="n"/>
      <c r="AF31" s="316" t="n"/>
      <c r="AG31" s="431" t="n"/>
      <c r="AH31" s="318" t="n"/>
    </row>
    <row r="32" ht="15" customHeight="1" s="1">
      <c r="A32" s="277" t="n"/>
      <c r="B32" s="127" t="n"/>
      <c r="C32" s="312" t="inlineStr">
        <is>
          <t>T/S</t>
        </is>
      </c>
      <c r="D32" s="429" t="n"/>
      <c r="E32" s="430" t="n"/>
      <c r="F32" s="429" t="n"/>
      <c r="G32" s="430" t="n"/>
      <c r="H32" s="429" t="n"/>
      <c r="I32" s="430" t="n"/>
      <c r="J32" s="429" t="n"/>
      <c r="K32" s="430" t="n"/>
      <c r="L32" s="429" t="n"/>
      <c r="M32" s="430" t="n"/>
      <c r="N32" s="429" t="n"/>
      <c r="O32" s="430" t="n"/>
      <c r="P32" s="429" t="n"/>
      <c r="Q32" s="430" t="n"/>
      <c r="R32" s="429" t="n"/>
      <c r="S32" s="430" t="n"/>
      <c r="T32" s="429" t="n"/>
      <c r="U32" s="430" t="n"/>
      <c r="V32" s="429" t="n"/>
      <c r="W32" s="430" t="n"/>
      <c r="X32" s="315" t="n"/>
      <c r="Y32" s="316">
        <f>D32+F32+H32+J32+L32+N32+P32+R32+T32+V32</f>
        <v/>
      </c>
      <c r="Z32" s="317">
        <f>E32+G32+I32+K32+M32+O32+Q32+S32+U32+W32</f>
        <v/>
      </c>
      <c r="AA32" s="318">
        <f>Y32+Z32*2</f>
        <v/>
      </c>
      <c r="AB32" s="316" t="n"/>
      <c r="AC32" s="317" t="n"/>
      <c r="AD32" s="316" t="n"/>
      <c r="AE32" s="317" t="n"/>
      <c r="AF32" s="316" t="n"/>
      <c r="AG32" s="431" t="n"/>
      <c r="AH32" s="318" t="n"/>
    </row>
    <row r="33" ht="15" customHeight="1" s="1">
      <c r="A33" s="277" t="n"/>
      <c r="B33" s="127" t="n"/>
      <c r="C33" s="312" t="inlineStr">
        <is>
          <t>SOC</t>
        </is>
      </c>
      <c r="D33" s="429" t="n"/>
      <c r="E33" s="430" t="n"/>
      <c r="F33" s="429" t="n"/>
      <c r="G33" s="430" t="n"/>
      <c r="H33" s="429" t="n"/>
      <c r="I33" s="430" t="n"/>
      <c r="J33" s="429" t="n"/>
      <c r="K33" s="430" t="n"/>
      <c r="L33" s="429" t="n"/>
      <c r="M33" s="430" t="n"/>
      <c r="N33" s="429" t="n"/>
      <c r="O33" s="430" t="n"/>
      <c r="P33" s="429" t="n"/>
      <c r="Q33" s="430" t="n"/>
      <c r="R33" s="429" t="n"/>
      <c r="S33" s="430" t="n"/>
      <c r="T33" s="429" t="n"/>
      <c r="U33" s="430" t="n"/>
      <c r="V33" s="429" t="n"/>
      <c r="W33" s="430" t="n"/>
      <c r="X33" s="315" t="n"/>
      <c r="Y33" s="316">
        <f>D33+F33+H33+J33+L33+N33+P33+R33+T33+V33</f>
        <v/>
      </c>
      <c r="Z33" s="317">
        <f>E33+G33+I33+K33+M33+O33+Q33+S33+U33+W33</f>
        <v/>
      </c>
      <c r="AA33" s="318">
        <f>Y33+Z33*2</f>
        <v/>
      </c>
      <c r="AB33" s="316" t="n"/>
      <c r="AC33" s="317" t="n"/>
      <c r="AD33" s="316" t="n"/>
      <c r="AE33" s="317" t="n"/>
      <c r="AF33" s="316" t="n"/>
      <c r="AG33" s="431" t="n"/>
      <c r="AH33" s="318" t="n"/>
    </row>
    <row r="34" ht="15" customHeight="1" s="1">
      <c r="A34" s="277" t="n"/>
      <c r="B34" s="127" t="n"/>
      <c r="C34" s="312" t="inlineStr">
        <is>
          <t>RF</t>
        </is>
      </c>
      <c r="D34" s="429" t="n"/>
      <c r="E34" s="430" t="n"/>
      <c r="F34" s="429" t="n"/>
      <c r="G34" s="430" t="n"/>
      <c r="H34" s="429" t="n"/>
      <c r="I34" s="430" t="n"/>
      <c r="J34" s="429" t="n"/>
      <c r="K34" s="430" t="n"/>
      <c r="L34" s="429" t="n"/>
      <c r="M34" s="430" t="n"/>
      <c r="N34" s="429" t="n"/>
      <c r="O34" s="430" t="n"/>
      <c r="P34" s="429" t="n"/>
      <c r="Q34" s="430" t="n"/>
      <c r="R34" s="429" t="n"/>
      <c r="S34" s="430" t="n"/>
      <c r="T34" s="429" t="n"/>
      <c r="U34" s="430" t="n"/>
      <c r="V34" s="429" t="n"/>
      <c r="W34" s="430" t="n"/>
      <c r="X34" s="315" t="n"/>
      <c r="Y34" s="316">
        <f>D34+F34+H34+J34+L34+N34+P34+R34+T34+V34</f>
        <v/>
      </c>
      <c r="Z34" s="317">
        <f>E34+G34+I34+K34+M34+O34+Q34+S34+U34+W34</f>
        <v/>
      </c>
      <c r="AA34" s="318">
        <f>Y34+Z34*2</f>
        <v/>
      </c>
      <c r="AB34" s="316" t="n"/>
      <c r="AC34" s="317" t="n"/>
      <c r="AD34" s="316" t="n"/>
      <c r="AE34" s="317" t="n"/>
      <c r="AF34" s="316" t="n"/>
      <c r="AG34" s="431" t="n"/>
      <c r="AH34" s="318">
        <f>AH26-Y34-Z34+H98+I98</f>
        <v/>
      </c>
    </row>
    <row r="35" ht="15" customHeight="1" s="1">
      <c r="A35" s="311" t="inlineStr">
        <is>
          <t>ETB</t>
        </is>
      </c>
      <c r="B35" s="327" t="inlineStr">
        <is>
          <t>07/04</t>
        </is>
      </c>
      <c r="C35" s="312" t="inlineStr">
        <is>
          <t>MT</t>
        </is>
      </c>
      <c r="D35" s="429" t="n"/>
      <c r="E35" s="430" t="n"/>
      <c r="F35" s="429" t="n"/>
      <c r="G35" s="430" t="n"/>
      <c r="H35" s="429" t="n"/>
      <c r="I35" s="430" t="n"/>
      <c r="J35" s="429" t="n"/>
      <c r="K35" s="430" t="n"/>
      <c r="L35" s="429" t="n"/>
      <c r="M35" s="430" t="n"/>
      <c r="N35" s="429" t="n"/>
      <c r="O35" s="430" t="n"/>
      <c r="P35" s="429" t="n"/>
      <c r="Q35" s="430" t="n"/>
      <c r="R35" s="429" t="n"/>
      <c r="S35" s="430" t="n"/>
      <c r="T35" s="429" t="n"/>
      <c r="U35" s="430" t="n"/>
      <c r="V35" s="429" t="n"/>
      <c r="W35" s="430" t="n"/>
      <c r="X35" s="315" t="n"/>
      <c r="Y35" s="316">
        <f>D35+F35+H35+J35+L35+N35+P35+R35+T35+V35</f>
        <v/>
      </c>
      <c r="Z35" s="317">
        <f>E35+G35+I35+K35+M35+O35+Q35+S35+U35+W35</f>
        <v/>
      </c>
      <c r="AA35" s="318">
        <f>Y35+Z35*2</f>
        <v/>
      </c>
      <c r="AB35" s="316" t="n"/>
      <c r="AC35" s="317" t="n"/>
      <c r="AD35" s="316" t="n"/>
      <c r="AE35" s="317" t="n"/>
      <c r="AF35" s="316" t="n"/>
      <c r="AG35" s="431" t="n"/>
      <c r="AH35" s="318" t="n"/>
    </row>
    <row r="36" ht="15" customHeight="1" s="1">
      <c r="A36" s="311" t="inlineStr">
        <is>
          <t>ETD</t>
        </is>
      </c>
      <c r="B36" s="327" t="inlineStr">
        <is>
          <t>07/04</t>
        </is>
      </c>
      <c r="C36" s="312" t="inlineStr">
        <is>
          <t>Weight</t>
        </is>
      </c>
      <c r="D36" s="328" t="n"/>
      <c r="E36" s="272" t="n"/>
      <c r="F36" s="328" t="n"/>
      <c r="G36" s="272" t="n"/>
      <c r="H36" s="328" t="n"/>
      <c r="I36" s="272" t="n"/>
      <c r="J36" s="328" t="n"/>
      <c r="K36" s="272" t="n"/>
      <c r="L36" s="328" t="n"/>
      <c r="M36" s="272" t="n"/>
      <c r="N36" s="328" t="n"/>
      <c r="O36" s="272" t="n"/>
      <c r="P36" s="328" t="n"/>
      <c r="Q36" s="272" t="n"/>
      <c r="R36" s="328" t="n"/>
      <c r="S36" s="272" t="n"/>
      <c r="T36" s="328" t="n"/>
      <c r="U36" s="272" t="n"/>
      <c r="V36" s="328" t="n"/>
      <c r="W36" s="272" t="n"/>
      <c r="X36" s="173" t="n"/>
      <c r="Y36" s="432">
        <f>D36+F36+H36+J36+L36+N36+P36+R36+T36+V36</f>
        <v/>
      </c>
      <c r="Z36" s="433" t="n"/>
      <c r="AA36" s="432" t="n"/>
      <c r="AB36" s="330">
        <f>AB28+Y36-(H103)</f>
        <v/>
      </c>
      <c r="AC36" s="332">
        <f>AB36-(AB30-AC30)*2</f>
        <v/>
      </c>
      <c r="AD36" s="333">
        <f>IF(AD$2&gt;0,AB36/AD$2,0)</f>
        <v/>
      </c>
      <c r="AE36" s="334">
        <f>IF(AD$2&gt;0,AC36/AD$2,0)</f>
        <v/>
      </c>
      <c r="AF36" s="330" t="n"/>
      <c r="AG36" s="332">
        <f>AD$2-AB36</f>
        <v/>
      </c>
      <c r="AH36" s="432" t="n"/>
    </row>
    <row r="37" ht="15" customHeight="1" s="1">
      <c r="A37" s="434" t="n"/>
      <c r="B37" s="130" t="n"/>
      <c r="C37" s="337" t="inlineStr">
        <is>
          <t>TTL</t>
        </is>
      </c>
      <c r="D37" s="338">
        <f>D30+D31+D32+D33+D34+D35</f>
        <v/>
      </c>
      <c r="E37" s="339">
        <f>E30+E31+E32+E33+E34+E35</f>
        <v/>
      </c>
      <c r="F37" s="338">
        <f>F30+F31+F32+F33+F34+F35</f>
        <v/>
      </c>
      <c r="G37" s="339">
        <f>G30+G31+G32+G33+G34+G35</f>
        <v/>
      </c>
      <c r="H37" s="338">
        <f>H30+H31+H32+H33+H34+H35</f>
        <v/>
      </c>
      <c r="I37" s="339">
        <f>I30+I31+I32+I33+I34+I35</f>
        <v/>
      </c>
      <c r="J37" s="338">
        <f>J30+J31+J32+J33+J34+J35</f>
        <v/>
      </c>
      <c r="K37" s="339">
        <f>K30+K31+K32+K33+K34+K35</f>
        <v/>
      </c>
      <c r="L37" s="338">
        <f>L30+L31+L32+L33+L34+L35</f>
        <v/>
      </c>
      <c r="M37" s="339">
        <f>M30+M31+M32+M33+M34+M35</f>
        <v/>
      </c>
      <c r="N37" s="338">
        <f>N30+N31+N32+N33+N34+N35</f>
        <v/>
      </c>
      <c r="O37" s="339">
        <f>O30+O31+O32+O33+O34+O35</f>
        <v/>
      </c>
      <c r="P37" s="338">
        <f>P30+P31+P32+P33+P34+P35</f>
        <v/>
      </c>
      <c r="Q37" s="339">
        <f>Q30+Q31+Q32+Q33+Q34+Q35</f>
        <v/>
      </c>
      <c r="R37" s="338">
        <f>R30+R31+R32+R33+R34+R35</f>
        <v/>
      </c>
      <c r="S37" s="339">
        <f>S30+S31+S32+S33+S34+S35</f>
        <v/>
      </c>
      <c r="T37" s="338">
        <f>T30+T31+T32+T33+T34+T35</f>
        <v/>
      </c>
      <c r="U37" s="339">
        <f>U30+U31+U32+U33+U34+U35</f>
        <v/>
      </c>
      <c r="V37" s="338">
        <f>V30+V31+V32+V33+V34+V35</f>
        <v/>
      </c>
      <c r="W37" s="339">
        <f>W30+W31+W32+W33+W34+W35</f>
        <v/>
      </c>
      <c r="X37" s="173" t="n"/>
      <c r="Y37" s="340">
        <f>Y30+Y31+Y32+Y33+Y34+Y35</f>
        <v/>
      </c>
      <c r="Z37" s="341">
        <f>Z30+Z31+Z32+Z33+Z34+Z35</f>
        <v/>
      </c>
      <c r="AA37" s="176">
        <f>AA30+AA31+AA32+AA33+AA34+AA35</f>
        <v/>
      </c>
      <c r="AB37" s="340" t="n"/>
      <c r="AC37" s="341" t="n"/>
      <c r="AD37" s="340" t="n"/>
      <c r="AE37" s="341" t="n"/>
      <c r="AF37" s="340">
        <f>$AA$2-AB30</f>
        <v/>
      </c>
      <c r="AG37" s="332" t="n"/>
      <c r="AH37" s="176" t="n"/>
    </row>
    <row r="38" ht="15" customHeight="1" s="1">
      <c r="A38" s="428" t="inlineStr">
        <is>
          <t>CNSHK</t>
        </is>
      </c>
      <c r="B38" s="127" t="n"/>
      <c r="C38" s="312" t="inlineStr">
        <is>
          <t>LILIAN</t>
        </is>
      </c>
      <c r="D38" s="429" t="n"/>
      <c r="E38" s="430" t="n"/>
      <c r="F38" s="429" t="n"/>
      <c r="G38" s="430" t="n"/>
      <c r="H38" s="429" t="n"/>
      <c r="I38" s="430" t="n"/>
      <c r="J38" s="429" t="n"/>
      <c r="K38" s="430" t="n"/>
      <c r="L38" s="429" t="n"/>
      <c r="M38" s="430" t="n"/>
      <c r="N38" s="429" t="n"/>
      <c r="O38" s="430" t="n"/>
      <c r="P38" s="429" t="n"/>
      <c r="Q38" s="430" t="n"/>
      <c r="R38" s="429" t="n"/>
      <c r="S38" s="430" t="n"/>
      <c r="T38" s="429" t="n"/>
      <c r="U38" s="430" t="n"/>
      <c r="V38" s="429" t="n"/>
      <c r="W38" s="430" t="n"/>
      <c r="X38" s="315" t="n"/>
      <c r="Y38" s="316">
        <f>D38+F38+H38+J38+L38+N38+P38+R38+T38+V38</f>
        <v/>
      </c>
      <c r="Z38" s="317">
        <f>E38+G38+I38+K38+M38+O38+Q38+S38+U38+W38</f>
        <v/>
      </c>
      <c r="AA38" s="318">
        <f>Y38+Z38*2</f>
        <v/>
      </c>
      <c r="AB38" s="316">
        <f>AB30+AA38+AA39+AA40+AA41+AA42+AA43-(J102+K102)</f>
        <v/>
      </c>
      <c r="AC38" s="317">
        <f>AC30+AA38+AA39+AA40+AA41+AA42-(J102+K102-(J99+K99*2))</f>
        <v/>
      </c>
      <c r="AD38" s="319">
        <f>IF(AA$2&gt;0,AB38/AA$2,0)</f>
        <v/>
      </c>
      <c r="AE38" s="320">
        <f>IF(AA$2&gt;0,AC38/AA$2,0)</f>
        <v/>
      </c>
      <c r="AF38" s="316" t="n"/>
      <c r="AG38" s="431" t="n"/>
      <c r="AH38" s="318" t="n"/>
    </row>
    <row r="39" ht="15" customHeight="1" s="1">
      <c r="A39" s="277" t="n"/>
      <c r="B39" s="127" t="n"/>
      <c r="C39" s="312" t="inlineStr">
        <is>
          <t>SUL</t>
        </is>
      </c>
      <c r="D39" s="429" t="n"/>
      <c r="E39" s="430" t="n"/>
      <c r="F39" s="429" t="n"/>
      <c r="G39" s="430" t="n"/>
      <c r="H39" s="429" t="n"/>
      <c r="I39" s="430" t="n"/>
      <c r="J39" s="429" t="n"/>
      <c r="K39" s="430" t="n"/>
      <c r="L39" s="429" t="n"/>
      <c r="M39" s="430" t="n"/>
      <c r="N39" s="429" t="n"/>
      <c r="O39" s="430" t="n"/>
      <c r="P39" s="429" t="n"/>
      <c r="Q39" s="430" t="n"/>
      <c r="R39" s="429" t="n"/>
      <c r="S39" s="430" t="n"/>
      <c r="T39" s="429" t="n"/>
      <c r="U39" s="430" t="n"/>
      <c r="V39" s="429" t="n"/>
      <c r="W39" s="430" t="n"/>
      <c r="X39" s="315" t="n"/>
      <c r="Y39" s="316">
        <f>D39+F39+H39+J39+L39+N39+P39+R39+T39+V39</f>
        <v/>
      </c>
      <c r="Z39" s="317">
        <f>E39+G39+I39+K39+M39+O39+Q39+S39+U39+W39</f>
        <v/>
      </c>
      <c r="AA39" s="318">
        <f>Y39+Z39*2</f>
        <v/>
      </c>
      <c r="AB39" s="316" t="n"/>
      <c r="AC39" s="317" t="n"/>
      <c r="AD39" s="316" t="n"/>
      <c r="AE39" s="317" t="n"/>
      <c r="AF39" s="316" t="n"/>
      <c r="AG39" s="431" t="n"/>
      <c r="AH39" s="318" t="n"/>
    </row>
    <row r="40" ht="15" customHeight="1" s="1">
      <c r="A40" s="277" t="n"/>
      <c r="B40" s="127" t="n"/>
      <c r="C40" s="312" t="inlineStr">
        <is>
          <t>T/S</t>
        </is>
      </c>
      <c r="D40" s="429" t="n"/>
      <c r="E40" s="430" t="n"/>
      <c r="F40" s="429" t="n"/>
      <c r="G40" s="430" t="n"/>
      <c r="H40" s="429" t="n"/>
      <c r="I40" s="430" t="n"/>
      <c r="J40" s="429" t="n"/>
      <c r="K40" s="430" t="n"/>
      <c r="L40" s="429" t="n"/>
      <c r="M40" s="430" t="n"/>
      <c r="N40" s="429" t="n"/>
      <c r="O40" s="430" t="n"/>
      <c r="P40" s="429" t="n"/>
      <c r="Q40" s="430" t="n"/>
      <c r="R40" s="429" t="n"/>
      <c r="S40" s="430" t="n"/>
      <c r="T40" s="429" t="n"/>
      <c r="U40" s="430" t="n"/>
      <c r="V40" s="429" t="n"/>
      <c r="W40" s="430" t="n"/>
      <c r="X40" s="315" t="n"/>
      <c r="Y40" s="316">
        <f>D40+F40+H40+J40+L40+N40+P40+R40+T40+V40</f>
        <v/>
      </c>
      <c r="Z40" s="317">
        <f>E40+G40+I40+K40+M40+O40+Q40+S40+U40+W40</f>
        <v/>
      </c>
      <c r="AA40" s="318">
        <f>Y40+Z40*2</f>
        <v/>
      </c>
      <c r="AB40" s="316" t="n"/>
      <c r="AC40" s="317" t="n"/>
      <c r="AD40" s="316" t="n"/>
      <c r="AE40" s="317" t="n"/>
      <c r="AF40" s="316" t="n"/>
      <c r="AG40" s="431" t="n"/>
      <c r="AH40" s="318" t="n"/>
    </row>
    <row r="41" ht="15" customHeight="1" s="1">
      <c r="A41" s="277" t="n"/>
      <c r="B41" s="127" t="n"/>
      <c r="C41" s="312" t="inlineStr">
        <is>
          <t>SOC</t>
        </is>
      </c>
      <c r="D41" s="429" t="n"/>
      <c r="E41" s="430" t="n"/>
      <c r="F41" s="429" t="n"/>
      <c r="G41" s="430" t="n"/>
      <c r="H41" s="429" t="n"/>
      <c r="I41" s="430" t="n"/>
      <c r="J41" s="429" t="n"/>
      <c r="K41" s="430" t="n"/>
      <c r="L41" s="429" t="n"/>
      <c r="M41" s="430" t="n"/>
      <c r="N41" s="429" t="n"/>
      <c r="O41" s="430" t="n"/>
      <c r="P41" s="429" t="n"/>
      <c r="Q41" s="430" t="n"/>
      <c r="R41" s="429" t="n"/>
      <c r="S41" s="430" t="n"/>
      <c r="T41" s="429" t="n"/>
      <c r="U41" s="430" t="n"/>
      <c r="V41" s="429" t="n"/>
      <c r="W41" s="430" t="n"/>
      <c r="X41" s="315" t="n"/>
      <c r="Y41" s="316">
        <f>D41+F41+H41+J41+L41+N41+P41+R41+T41+V41</f>
        <v/>
      </c>
      <c r="Z41" s="317">
        <f>E41+G41+I41+K41+M41+O41+Q41+S41+U41+W41</f>
        <v/>
      </c>
      <c r="AA41" s="318">
        <f>Y41+Z41*2</f>
        <v/>
      </c>
      <c r="AB41" s="316" t="n"/>
      <c r="AC41" s="317" t="n"/>
      <c r="AD41" s="316" t="n"/>
      <c r="AE41" s="317" t="n"/>
      <c r="AF41" s="316" t="n"/>
      <c r="AG41" s="431" t="n"/>
      <c r="AH41" s="318" t="n"/>
    </row>
    <row r="42" ht="15" customHeight="1" s="1">
      <c r="A42" s="277" t="n"/>
      <c r="B42" s="127" t="n"/>
      <c r="C42" s="312" t="inlineStr">
        <is>
          <t>RF</t>
        </is>
      </c>
      <c r="D42" s="429" t="n"/>
      <c r="E42" s="430" t="n"/>
      <c r="F42" s="429" t="n"/>
      <c r="G42" s="430" t="n"/>
      <c r="H42" s="429" t="n"/>
      <c r="I42" s="430" t="n"/>
      <c r="J42" s="429" t="n"/>
      <c r="K42" s="430" t="n"/>
      <c r="L42" s="429" t="n"/>
      <c r="M42" s="430" t="n"/>
      <c r="N42" s="429" t="n"/>
      <c r="O42" s="430" t="n"/>
      <c r="P42" s="429" t="n"/>
      <c r="Q42" s="430" t="n"/>
      <c r="R42" s="429" t="n"/>
      <c r="S42" s="430" t="n"/>
      <c r="T42" s="429" t="n"/>
      <c r="U42" s="430" t="n"/>
      <c r="V42" s="429" t="n"/>
      <c r="W42" s="430" t="n"/>
      <c r="X42" s="315" t="n"/>
      <c r="Y42" s="316">
        <f>D42+F42+H42+J42+L42+N42+P42+R42+T42+V42</f>
        <v/>
      </c>
      <c r="Z42" s="317">
        <f>E42+G42+I42+K42+M42+O42+Q42+S42+U42+W42</f>
        <v/>
      </c>
      <c r="AA42" s="318">
        <f>Y42+Z42*2</f>
        <v/>
      </c>
      <c r="AB42" s="316" t="n"/>
      <c r="AC42" s="317" t="n"/>
      <c r="AD42" s="316" t="n"/>
      <c r="AE42" s="317" t="n"/>
      <c r="AF42" s="316" t="n"/>
      <c r="AG42" s="431" t="n"/>
      <c r="AH42" s="318">
        <f>AH34-Y42-Z42+J98+K98</f>
        <v/>
      </c>
    </row>
    <row r="43" ht="15" customHeight="1" s="1">
      <c r="A43" s="311" t="inlineStr">
        <is>
          <t>ETB</t>
        </is>
      </c>
      <c r="B43" s="327" t="inlineStr">
        <is>
          <t>07/07</t>
        </is>
      </c>
      <c r="C43" s="312" t="inlineStr">
        <is>
          <t>MT</t>
        </is>
      </c>
      <c r="D43" s="429" t="n"/>
      <c r="E43" s="430" t="n"/>
      <c r="F43" s="429" t="n"/>
      <c r="G43" s="430" t="n"/>
      <c r="H43" s="429" t="n"/>
      <c r="I43" s="430" t="n"/>
      <c r="J43" s="429" t="n"/>
      <c r="K43" s="430" t="n"/>
      <c r="L43" s="429" t="n"/>
      <c r="M43" s="430" t="n"/>
      <c r="N43" s="429" t="n"/>
      <c r="O43" s="430" t="n"/>
      <c r="P43" s="429" t="n"/>
      <c r="Q43" s="430" t="n"/>
      <c r="R43" s="429" t="n"/>
      <c r="S43" s="430" t="n"/>
      <c r="T43" s="429" t="n"/>
      <c r="U43" s="430" t="n"/>
      <c r="V43" s="429" t="n"/>
      <c r="W43" s="430" t="n"/>
      <c r="X43" s="315" t="n"/>
      <c r="Y43" s="316">
        <f>D43+F43+H43+J43+L43+N43+P43+R43+T43+V43</f>
        <v/>
      </c>
      <c r="Z43" s="317">
        <f>E43+G43+I43+K43+M43+O43+Q43+S43+U43+W43</f>
        <v/>
      </c>
      <c r="AA43" s="318">
        <f>Y43+Z43*2</f>
        <v/>
      </c>
      <c r="AB43" s="316" t="n"/>
      <c r="AC43" s="317" t="n"/>
      <c r="AD43" s="316" t="n"/>
      <c r="AE43" s="317" t="n"/>
      <c r="AF43" s="316" t="n"/>
      <c r="AG43" s="431" t="n"/>
      <c r="AH43" s="318" t="n"/>
    </row>
    <row r="44" ht="15" customHeight="1" s="1">
      <c r="A44" s="311" t="inlineStr">
        <is>
          <t>ETD</t>
        </is>
      </c>
      <c r="B44" s="327" t="inlineStr">
        <is>
          <t>07/07</t>
        </is>
      </c>
      <c r="C44" s="312" t="inlineStr">
        <is>
          <t>Weight</t>
        </is>
      </c>
      <c r="D44" s="328" t="n"/>
      <c r="E44" s="272" t="n"/>
      <c r="F44" s="328" t="n"/>
      <c r="G44" s="272" t="n"/>
      <c r="H44" s="328" t="n"/>
      <c r="I44" s="272" t="n"/>
      <c r="J44" s="328" t="n"/>
      <c r="K44" s="272" t="n"/>
      <c r="L44" s="328" t="n"/>
      <c r="M44" s="272" t="n"/>
      <c r="N44" s="328" t="n"/>
      <c r="O44" s="272" t="n"/>
      <c r="P44" s="328" t="n"/>
      <c r="Q44" s="272" t="n"/>
      <c r="R44" s="328" t="n"/>
      <c r="S44" s="272" t="n"/>
      <c r="T44" s="328" t="n"/>
      <c r="U44" s="272" t="n"/>
      <c r="V44" s="328" t="n"/>
      <c r="W44" s="272" t="n"/>
      <c r="X44" s="173" t="n"/>
      <c r="Y44" s="432">
        <f>D44+F44+H44+J44+L44+N44+P44+R44+T44+V44</f>
        <v/>
      </c>
      <c r="Z44" s="433" t="n"/>
      <c r="AA44" s="432" t="n"/>
      <c r="AB44" s="330">
        <f>AB36+Y44-(J103)</f>
        <v/>
      </c>
      <c r="AC44" s="332">
        <f>AB44-(AB38-AC38)*2</f>
        <v/>
      </c>
      <c r="AD44" s="333">
        <f>IF(AD$2&gt;0,AB44/AD$2,0)</f>
        <v/>
      </c>
      <c r="AE44" s="334">
        <f>IF(AD$2&gt;0,AC44/AD$2,0)</f>
        <v/>
      </c>
      <c r="AF44" s="330" t="n"/>
      <c r="AG44" s="332">
        <f>AD$2-AB44</f>
        <v/>
      </c>
      <c r="AH44" s="432" t="n"/>
    </row>
    <row r="45" ht="15" customHeight="1" s="1">
      <c r="A45" s="434" t="n"/>
      <c r="B45" s="130" t="n"/>
      <c r="C45" s="337" t="inlineStr">
        <is>
          <t>TTL</t>
        </is>
      </c>
      <c r="D45" s="338">
        <f>D38+D39+D40+D41+D42+D43</f>
        <v/>
      </c>
      <c r="E45" s="339">
        <f>E38+E39+E40+E41+E42+E43</f>
        <v/>
      </c>
      <c r="F45" s="338">
        <f>F38+F39+F40+F41+F42+F43</f>
        <v/>
      </c>
      <c r="G45" s="339">
        <f>G38+G39+G40+G41+G42+G43</f>
        <v/>
      </c>
      <c r="H45" s="338">
        <f>H38+H39+H40+H41+H42+H43</f>
        <v/>
      </c>
      <c r="I45" s="339">
        <f>I38+I39+I40+I41+I42+I43</f>
        <v/>
      </c>
      <c r="J45" s="338">
        <f>J38+J39+J40+J41+J42+J43</f>
        <v/>
      </c>
      <c r="K45" s="339">
        <f>K38+K39+K40+K41+K42+K43</f>
        <v/>
      </c>
      <c r="L45" s="338">
        <f>L38+L39+L40+L41+L42+L43</f>
        <v/>
      </c>
      <c r="M45" s="339">
        <f>M38+M39+M40+M41+M42+M43</f>
        <v/>
      </c>
      <c r="N45" s="338">
        <f>N38+N39+N40+N41+N42+N43</f>
        <v/>
      </c>
      <c r="O45" s="339">
        <f>O38+O39+O40+O41+O42+O43</f>
        <v/>
      </c>
      <c r="P45" s="338">
        <f>P38+P39+P40+P41+P42+P43</f>
        <v/>
      </c>
      <c r="Q45" s="339">
        <f>Q38+Q39+Q40+Q41+Q42+Q43</f>
        <v/>
      </c>
      <c r="R45" s="338">
        <f>R38+R39+R40+R41+R42+R43</f>
        <v/>
      </c>
      <c r="S45" s="339">
        <f>S38+S39+S40+S41+S42+S43</f>
        <v/>
      </c>
      <c r="T45" s="338">
        <f>T38+T39+T40+T41+T42+T43</f>
        <v/>
      </c>
      <c r="U45" s="339">
        <f>U38+U39+U40+U41+U42+U43</f>
        <v/>
      </c>
      <c r="V45" s="338">
        <f>V38+V39+V40+V41+V42+V43</f>
        <v/>
      </c>
      <c r="W45" s="339">
        <f>W38+W39+W40+W41+W42+W43</f>
        <v/>
      </c>
      <c r="X45" s="173" t="n"/>
      <c r="Y45" s="340">
        <f>Y38+Y39+Y40+Y41+Y42+Y43</f>
        <v/>
      </c>
      <c r="Z45" s="341">
        <f>Z38+Z39+Z40+Z41+Z42+Z43</f>
        <v/>
      </c>
      <c r="AA45" s="176">
        <f>AA38+AA39+AA40+AA41+AA42+AA43</f>
        <v/>
      </c>
      <c r="AB45" s="340" t="n"/>
      <c r="AC45" s="341" t="n"/>
      <c r="AD45" s="340" t="n"/>
      <c r="AE45" s="341" t="n"/>
      <c r="AF45" s="340">
        <f>$AA$2-AB38</f>
        <v/>
      </c>
      <c r="AG45" s="332" t="n"/>
      <c r="AH45" s="176" t="n"/>
    </row>
    <row r="46" ht="15" customHeight="1" s="1">
      <c r="A46" s="428" t="inlineStr">
        <is>
          <t>CNNSA</t>
        </is>
      </c>
      <c r="B46" s="127" t="n"/>
      <c r="C46" s="312" t="inlineStr">
        <is>
          <t>LILIAN</t>
        </is>
      </c>
      <c r="D46" s="429" t="n"/>
      <c r="E46" s="430" t="n"/>
      <c r="F46" s="429" t="n"/>
      <c r="G46" s="430" t="n"/>
      <c r="H46" s="429" t="n"/>
      <c r="I46" s="430" t="n"/>
      <c r="J46" s="429" t="n"/>
      <c r="K46" s="430" t="n"/>
      <c r="L46" s="429" t="n"/>
      <c r="M46" s="430" t="n"/>
      <c r="N46" s="429" t="n"/>
      <c r="O46" s="430" t="n"/>
      <c r="P46" s="429" t="n"/>
      <c r="Q46" s="430" t="n"/>
      <c r="R46" s="429" t="n"/>
      <c r="S46" s="430" t="n"/>
      <c r="T46" s="429" t="n"/>
      <c r="U46" s="430" t="n"/>
      <c r="V46" s="429" t="n"/>
      <c r="W46" s="430" t="n"/>
      <c r="X46" s="315" t="n"/>
      <c r="Y46" s="316">
        <f>D46+F46+H46+J46+L46+N46+P46+R46+T46+V46</f>
        <v/>
      </c>
      <c r="Z46" s="317">
        <f>E46+G46+I46+K46+M46+O46+Q46+S46+U46+W46</f>
        <v/>
      </c>
      <c r="AA46" s="318">
        <f>Y46+Z46*2</f>
        <v/>
      </c>
      <c r="AB46" s="316">
        <f>AB38+AA46+AA47+AA48+AA49+AA50+AA51-(L102+M102)</f>
        <v/>
      </c>
      <c r="AC46" s="317">
        <f>AC38+AA46+AA47+AA48+AA49+AA50-(L102+M102-(L99+M99*2))</f>
        <v/>
      </c>
      <c r="AD46" s="319">
        <f>IF(AA$2&gt;0,AB46/AA$2,0)</f>
        <v/>
      </c>
      <c r="AE46" s="320">
        <f>IF(AA$2&gt;0,AC46/AA$2,0)</f>
        <v/>
      </c>
      <c r="AF46" s="316" t="n"/>
      <c r="AG46" s="431" t="n"/>
      <c r="AH46" s="318" t="n"/>
    </row>
    <row r="47" ht="15" customHeight="1" s="1">
      <c r="A47" s="277" t="n"/>
      <c r="B47" s="127" t="n"/>
      <c r="C47" s="312" t="inlineStr">
        <is>
          <t>SUL</t>
        </is>
      </c>
      <c r="D47" s="429" t="n"/>
      <c r="E47" s="430" t="n"/>
      <c r="F47" s="429" t="n"/>
      <c r="G47" s="430" t="n"/>
      <c r="H47" s="429" t="n"/>
      <c r="I47" s="430" t="n"/>
      <c r="J47" s="429" t="n"/>
      <c r="K47" s="430" t="n"/>
      <c r="L47" s="429" t="n"/>
      <c r="M47" s="430" t="n"/>
      <c r="N47" s="429" t="n"/>
      <c r="O47" s="430" t="n"/>
      <c r="P47" s="429" t="n"/>
      <c r="Q47" s="430" t="n"/>
      <c r="R47" s="429" t="n"/>
      <c r="S47" s="430" t="n"/>
      <c r="T47" s="429" t="n"/>
      <c r="U47" s="430" t="n"/>
      <c r="V47" s="429" t="n"/>
      <c r="W47" s="430" t="n"/>
      <c r="X47" s="315" t="n"/>
      <c r="Y47" s="316">
        <f>D47+F47+H47+J47+L47+N47+P47+R47+T47+V47</f>
        <v/>
      </c>
      <c r="Z47" s="317">
        <f>E47+G47+I47+K47+M47+O47+Q47+S47+U47+W47</f>
        <v/>
      </c>
      <c r="AA47" s="318">
        <f>Y47+Z47*2</f>
        <v/>
      </c>
      <c r="AB47" s="316" t="n"/>
      <c r="AC47" s="317" t="n"/>
      <c r="AD47" s="316" t="n"/>
      <c r="AE47" s="317" t="n"/>
      <c r="AF47" s="316" t="n"/>
      <c r="AG47" s="431" t="n"/>
      <c r="AH47" s="318" t="n"/>
    </row>
    <row r="48" ht="15" customHeight="1" s="1">
      <c r="A48" s="277" t="n"/>
      <c r="B48" s="127" t="n"/>
      <c r="C48" s="312" t="inlineStr">
        <is>
          <t>T/S</t>
        </is>
      </c>
      <c r="D48" s="429" t="n"/>
      <c r="E48" s="430" t="n"/>
      <c r="F48" s="429" t="n"/>
      <c r="G48" s="430" t="n"/>
      <c r="H48" s="429" t="n"/>
      <c r="I48" s="430" t="n"/>
      <c r="J48" s="429" t="n"/>
      <c r="K48" s="430" t="n"/>
      <c r="L48" s="429" t="n"/>
      <c r="M48" s="430" t="n"/>
      <c r="N48" s="429" t="n"/>
      <c r="O48" s="430" t="n"/>
      <c r="P48" s="429" t="n"/>
      <c r="Q48" s="430" t="n"/>
      <c r="R48" s="429" t="n"/>
      <c r="S48" s="430" t="n"/>
      <c r="T48" s="429" t="n"/>
      <c r="U48" s="430" t="n"/>
      <c r="V48" s="429" t="n"/>
      <c r="W48" s="430" t="n"/>
      <c r="X48" s="315" t="n"/>
      <c r="Y48" s="316">
        <f>D48+F48+H48+J48+L48+N48+P48+R48+T48+V48</f>
        <v/>
      </c>
      <c r="Z48" s="317">
        <f>E48+G48+I48+K48+M48+O48+Q48+S48+U48+W48</f>
        <v/>
      </c>
      <c r="AA48" s="318">
        <f>Y48+Z48*2</f>
        <v/>
      </c>
      <c r="AB48" s="316" t="n"/>
      <c r="AC48" s="317" t="n"/>
      <c r="AD48" s="316" t="n"/>
      <c r="AE48" s="317" t="n"/>
      <c r="AF48" s="316" t="n"/>
      <c r="AG48" s="431" t="n"/>
      <c r="AH48" s="318" t="n"/>
    </row>
    <row r="49" ht="15" customHeight="1" s="1">
      <c r="A49" s="277" t="n"/>
      <c r="B49" s="127" t="n"/>
      <c r="C49" s="312" t="inlineStr">
        <is>
          <t>SOC</t>
        </is>
      </c>
      <c r="D49" s="429" t="n"/>
      <c r="E49" s="430" t="n"/>
      <c r="F49" s="429" t="n"/>
      <c r="G49" s="430" t="n"/>
      <c r="H49" s="429" t="n"/>
      <c r="I49" s="430" t="n"/>
      <c r="J49" s="429" t="n"/>
      <c r="K49" s="430" t="n"/>
      <c r="L49" s="429" t="n"/>
      <c r="M49" s="430" t="n"/>
      <c r="N49" s="429" t="n"/>
      <c r="O49" s="430" t="n"/>
      <c r="P49" s="429" t="n"/>
      <c r="Q49" s="430" t="n"/>
      <c r="R49" s="429" t="n"/>
      <c r="S49" s="430" t="n"/>
      <c r="T49" s="429" t="n"/>
      <c r="U49" s="430" t="n"/>
      <c r="V49" s="429" t="n"/>
      <c r="W49" s="430" t="n"/>
      <c r="X49" s="315" t="n"/>
      <c r="Y49" s="316">
        <f>D49+F49+H49+J49+L49+N49+P49+R49+T49+V49</f>
        <v/>
      </c>
      <c r="Z49" s="317">
        <f>E49+G49+I49+K49+M49+O49+Q49+S49+U49+W49</f>
        <v/>
      </c>
      <c r="AA49" s="318">
        <f>Y49+Z49*2</f>
        <v/>
      </c>
      <c r="AB49" s="316" t="n"/>
      <c r="AC49" s="317" t="n"/>
      <c r="AD49" s="316" t="n"/>
      <c r="AE49" s="317" t="n"/>
      <c r="AF49" s="316" t="n"/>
      <c r="AG49" s="431" t="n"/>
      <c r="AH49" s="318" t="n"/>
    </row>
    <row r="50" ht="15" customHeight="1" s="1">
      <c r="A50" s="277" t="n"/>
      <c r="B50" s="127" t="n"/>
      <c r="C50" s="312" t="inlineStr">
        <is>
          <t>RF</t>
        </is>
      </c>
      <c r="D50" s="429" t="n"/>
      <c r="E50" s="430" t="n"/>
      <c r="F50" s="429" t="n"/>
      <c r="G50" s="430" t="n"/>
      <c r="H50" s="429" t="n"/>
      <c r="I50" s="430" t="n"/>
      <c r="J50" s="429" t="n"/>
      <c r="K50" s="430" t="n"/>
      <c r="L50" s="429" t="n"/>
      <c r="M50" s="430" t="n"/>
      <c r="N50" s="429" t="n"/>
      <c r="O50" s="430" t="n"/>
      <c r="P50" s="429" t="n"/>
      <c r="Q50" s="430" t="n"/>
      <c r="R50" s="429" t="n"/>
      <c r="S50" s="430" t="n"/>
      <c r="T50" s="429" t="n"/>
      <c r="U50" s="430" t="n"/>
      <c r="V50" s="429" t="n"/>
      <c r="W50" s="430" t="n"/>
      <c r="X50" s="315" t="n"/>
      <c r="Y50" s="316">
        <f>D50+F50+H50+J50+L50+N50+P50+R50+T50+V50</f>
        <v/>
      </c>
      <c r="Z50" s="317">
        <f>E50+G50+I50+K50+M50+O50+Q50+S50+U50+W50</f>
        <v/>
      </c>
      <c r="AA50" s="318">
        <f>Y50+Z50*2</f>
        <v/>
      </c>
      <c r="AB50" s="316" t="n"/>
      <c r="AC50" s="317" t="n"/>
      <c r="AD50" s="316" t="n"/>
      <c r="AE50" s="317" t="n"/>
      <c r="AF50" s="316" t="n"/>
      <c r="AG50" s="431" t="n"/>
      <c r="AH50" s="318">
        <f>AH42-Y50-Z50+L98+M98</f>
        <v/>
      </c>
    </row>
    <row r="51" ht="15" customHeight="1" s="1">
      <c r="A51" s="311" t="inlineStr">
        <is>
          <t>ETB</t>
        </is>
      </c>
      <c r="B51" s="327" t="inlineStr">
        <is>
          <t>07/07</t>
        </is>
      </c>
      <c r="C51" s="312" t="inlineStr">
        <is>
          <t>MT</t>
        </is>
      </c>
      <c r="D51" s="429" t="n"/>
      <c r="E51" s="430" t="n"/>
      <c r="F51" s="429" t="n"/>
      <c r="G51" s="430" t="n"/>
      <c r="H51" s="429" t="n"/>
      <c r="I51" s="430" t="n"/>
      <c r="J51" s="429" t="n"/>
      <c r="K51" s="430" t="n"/>
      <c r="L51" s="429" t="n"/>
      <c r="M51" s="430" t="n"/>
      <c r="N51" s="429" t="n"/>
      <c r="O51" s="430" t="n"/>
      <c r="P51" s="429" t="n"/>
      <c r="Q51" s="430" t="n"/>
      <c r="R51" s="429" t="n"/>
      <c r="S51" s="430" t="n"/>
      <c r="T51" s="429" t="n"/>
      <c r="U51" s="430" t="n"/>
      <c r="V51" s="429" t="n"/>
      <c r="W51" s="430" t="n"/>
      <c r="X51" s="315" t="n"/>
      <c r="Y51" s="316">
        <f>D51+F51+H51+J51+L51+N51+P51+R51+T51+V51</f>
        <v/>
      </c>
      <c r="Z51" s="317">
        <f>E51+G51+I51+K51+M51+O51+Q51+S51+U51+W51</f>
        <v/>
      </c>
      <c r="AA51" s="318">
        <f>Y51+Z51*2</f>
        <v/>
      </c>
      <c r="AB51" s="316" t="n"/>
      <c r="AC51" s="317" t="n"/>
      <c r="AD51" s="316" t="n"/>
      <c r="AE51" s="317" t="n"/>
      <c r="AF51" s="316" t="n"/>
      <c r="AG51" s="431" t="n"/>
      <c r="AH51" s="318" t="n"/>
    </row>
    <row r="52" ht="15" customHeight="1" s="1">
      <c r="A52" s="311" t="inlineStr">
        <is>
          <t>ETD</t>
        </is>
      </c>
      <c r="B52" s="327" t="inlineStr">
        <is>
          <t>07/08</t>
        </is>
      </c>
      <c r="C52" s="312" t="inlineStr">
        <is>
          <t>Weight</t>
        </is>
      </c>
      <c r="D52" s="328" t="n"/>
      <c r="E52" s="272" t="n"/>
      <c r="F52" s="328" t="n"/>
      <c r="G52" s="272" t="n"/>
      <c r="H52" s="328" t="n"/>
      <c r="I52" s="272" t="n"/>
      <c r="J52" s="328" t="n"/>
      <c r="K52" s="272" t="n"/>
      <c r="L52" s="328" t="n"/>
      <c r="M52" s="272" t="n"/>
      <c r="N52" s="328" t="n"/>
      <c r="O52" s="272" t="n"/>
      <c r="P52" s="328" t="n"/>
      <c r="Q52" s="272" t="n"/>
      <c r="R52" s="328" t="n"/>
      <c r="S52" s="272" t="n"/>
      <c r="T52" s="328" t="n"/>
      <c r="U52" s="272" t="n"/>
      <c r="V52" s="328" t="n"/>
      <c r="W52" s="272" t="n"/>
      <c r="X52" s="173" t="n"/>
      <c r="Y52" s="432">
        <f>D52+F52+H52+J52+L52+N52+P52+R52+T52+V52</f>
        <v/>
      </c>
      <c r="Z52" s="433" t="n"/>
      <c r="AA52" s="432" t="n"/>
      <c r="AB52" s="330">
        <f>AB44+Y52-(L103)</f>
        <v/>
      </c>
      <c r="AC52" s="332">
        <f>AB52-(AB46-AC46)*2</f>
        <v/>
      </c>
      <c r="AD52" s="333">
        <f>IF(AD$2&gt;0,AB52/AD$2,0)</f>
        <v/>
      </c>
      <c r="AE52" s="334">
        <f>IF(AD$2&gt;0,AC52/AD$2,0)</f>
        <v/>
      </c>
      <c r="AF52" s="330" t="n"/>
      <c r="AG52" s="332">
        <f>AD$2-AB52</f>
        <v/>
      </c>
      <c r="AH52" s="432" t="n"/>
    </row>
    <row r="53" ht="15" customHeight="1" s="1">
      <c r="A53" s="434" t="n"/>
      <c r="B53" s="130" t="n"/>
      <c r="C53" s="337" t="inlineStr">
        <is>
          <t>TTL</t>
        </is>
      </c>
      <c r="D53" s="338">
        <f>D46+D47+D48+D49+D50+D51</f>
        <v/>
      </c>
      <c r="E53" s="339">
        <f>E46+E47+E48+E49+E50+E51</f>
        <v/>
      </c>
      <c r="F53" s="338">
        <f>F46+F47+F48+F49+F50+F51</f>
        <v/>
      </c>
      <c r="G53" s="339">
        <f>G46+G47+G48+G49+G50+G51</f>
        <v/>
      </c>
      <c r="H53" s="338">
        <f>H46+H47+H48+H49+H50+H51</f>
        <v/>
      </c>
      <c r="I53" s="339">
        <f>I46+I47+I48+I49+I50+I51</f>
        <v/>
      </c>
      <c r="J53" s="338">
        <f>J46+J47+J48+J49+J50+J51</f>
        <v/>
      </c>
      <c r="K53" s="339">
        <f>K46+K47+K48+K49+K50+K51</f>
        <v/>
      </c>
      <c r="L53" s="338">
        <f>L46+L47+L48+L49+L50+L51</f>
        <v/>
      </c>
      <c r="M53" s="339">
        <f>M46+M47+M48+M49+M50+M51</f>
        <v/>
      </c>
      <c r="N53" s="338">
        <f>N46+N47+N48+N49+N50+N51</f>
        <v/>
      </c>
      <c r="O53" s="339">
        <f>O46+O47+O48+O49+O50+O51</f>
        <v/>
      </c>
      <c r="P53" s="338">
        <f>P46+P47+P48+P49+P50+P51</f>
        <v/>
      </c>
      <c r="Q53" s="339">
        <f>Q46+Q47+Q48+Q49+Q50+Q51</f>
        <v/>
      </c>
      <c r="R53" s="338">
        <f>R46+R47+R48+R49+R50+R51</f>
        <v/>
      </c>
      <c r="S53" s="339">
        <f>S46+S47+S48+S49+S50+S51</f>
        <v/>
      </c>
      <c r="T53" s="338">
        <f>T46+T47+T48+T49+T50+T51</f>
        <v/>
      </c>
      <c r="U53" s="339">
        <f>U46+U47+U48+U49+U50+U51</f>
        <v/>
      </c>
      <c r="V53" s="338">
        <f>V46+V47+V48+V49+V50+V51</f>
        <v/>
      </c>
      <c r="W53" s="339">
        <f>W46+W47+W48+W49+W50+W51</f>
        <v/>
      </c>
      <c r="X53" s="173" t="n"/>
      <c r="Y53" s="340">
        <f>Y46+Y47+Y48+Y49+Y50+Y51</f>
        <v/>
      </c>
      <c r="Z53" s="341">
        <f>Z46+Z47+Z48+Z49+Z50+Z51</f>
        <v/>
      </c>
      <c r="AA53" s="176">
        <f>AA46+AA47+AA48+AA49+AA50+AA51</f>
        <v/>
      </c>
      <c r="AB53" s="340" t="n"/>
      <c r="AC53" s="341" t="n"/>
      <c r="AD53" s="340" t="n"/>
      <c r="AE53" s="341" t="n"/>
      <c r="AF53" s="340">
        <f>$AA$2-AB46</f>
        <v/>
      </c>
      <c r="AG53" s="332" t="n"/>
      <c r="AH53" s="176" t="n"/>
    </row>
    <row r="54" ht="15" customHeight="1" s="1">
      <c r="A54" s="428" t="inlineStr">
        <is>
          <t>MYPKG</t>
        </is>
      </c>
      <c r="B54" s="127" t="n"/>
      <c r="C54" s="312" t="inlineStr">
        <is>
          <t>LILIAN</t>
        </is>
      </c>
      <c r="D54" s="429" t="n"/>
      <c r="E54" s="430" t="n"/>
      <c r="F54" s="429" t="n"/>
      <c r="G54" s="430" t="n"/>
      <c r="H54" s="429" t="n"/>
      <c r="I54" s="430" t="n"/>
      <c r="J54" s="429" t="n"/>
      <c r="K54" s="430" t="n"/>
      <c r="L54" s="429" t="n"/>
      <c r="M54" s="430" t="n"/>
      <c r="N54" s="429" t="n"/>
      <c r="O54" s="430" t="n"/>
      <c r="P54" s="429" t="n"/>
      <c r="Q54" s="430" t="n"/>
      <c r="R54" s="429" t="n"/>
      <c r="S54" s="430" t="n"/>
      <c r="T54" s="429" t="n"/>
      <c r="U54" s="430" t="n"/>
      <c r="V54" s="429" t="n"/>
      <c r="W54" s="430" t="n"/>
      <c r="X54" s="315" t="n"/>
      <c r="Y54" s="316">
        <f>D54+F54+H54+J54+L54+N54+P54+R54+T54+V54</f>
        <v/>
      </c>
      <c r="Z54" s="317">
        <f>E54+G54+I54+K54+M54+O54+Q54+S54+U54+W54</f>
        <v/>
      </c>
      <c r="AA54" s="318">
        <f>Y54+Z54*2</f>
        <v/>
      </c>
      <c r="AB54" s="316">
        <f>AB46+AA54+AA55+AA56+AA57+AA58+AA59-(N102+O102)</f>
        <v/>
      </c>
      <c r="AC54" s="317">
        <f>AC46+AA54+AA55+AA56+AA57+AA58-(N102+O102-(N99+O99*2))</f>
        <v/>
      </c>
      <c r="AD54" s="319">
        <f>IF(AA$2&gt;0,AB54/AA$2,0)</f>
        <v/>
      </c>
      <c r="AE54" s="320">
        <f>IF(AA$2&gt;0,AC54/AA$2,0)</f>
        <v/>
      </c>
      <c r="AF54" s="316" t="n"/>
      <c r="AG54" s="431" t="n"/>
      <c r="AH54" s="318" t="n"/>
    </row>
    <row r="55" ht="15" customHeight="1" s="1">
      <c r="A55" s="277" t="n"/>
      <c r="B55" s="127" t="n"/>
      <c r="C55" s="312" t="inlineStr">
        <is>
          <t>SUL</t>
        </is>
      </c>
      <c r="D55" s="429" t="n"/>
      <c r="E55" s="430" t="n"/>
      <c r="F55" s="429" t="n"/>
      <c r="G55" s="430" t="n"/>
      <c r="H55" s="429" t="n"/>
      <c r="I55" s="430" t="n"/>
      <c r="J55" s="429" t="n"/>
      <c r="K55" s="430" t="n"/>
      <c r="L55" s="429" t="n"/>
      <c r="M55" s="430" t="n"/>
      <c r="N55" s="429" t="n"/>
      <c r="O55" s="430" t="n"/>
      <c r="P55" s="429" t="n"/>
      <c r="Q55" s="430" t="n"/>
      <c r="R55" s="429" t="n"/>
      <c r="S55" s="430" t="n"/>
      <c r="T55" s="429" t="n"/>
      <c r="U55" s="430" t="n"/>
      <c r="V55" s="429" t="n"/>
      <c r="W55" s="430" t="n"/>
      <c r="X55" s="315" t="n"/>
      <c r="Y55" s="316">
        <f>D55+F55+H55+J55+L55+N55+P55+R55+T55+V55</f>
        <v/>
      </c>
      <c r="Z55" s="317">
        <f>E55+G55+I55+K55+M55+O55+Q55+S55+U55+W55</f>
        <v/>
      </c>
      <c r="AA55" s="318">
        <f>Y55+Z55*2</f>
        <v/>
      </c>
      <c r="AB55" s="316" t="n"/>
      <c r="AC55" s="317" t="n"/>
      <c r="AD55" s="316" t="n"/>
      <c r="AE55" s="317" t="n"/>
      <c r="AF55" s="316" t="n"/>
      <c r="AG55" s="431" t="n"/>
      <c r="AH55" s="318" t="n"/>
    </row>
    <row r="56" ht="15" customHeight="1" s="1">
      <c r="A56" s="277" t="n"/>
      <c r="B56" s="127" t="n"/>
      <c r="C56" s="312" t="inlineStr">
        <is>
          <t>T/S</t>
        </is>
      </c>
      <c r="D56" s="429" t="n"/>
      <c r="E56" s="430" t="n"/>
      <c r="F56" s="429" t="n"/>
      <c r="G56" s="430" t="n"/>
      <c r="H56" s="429" t="n"/>
      <c r="I56" s="430" t="n"/>
      <c r="J56" s="429" t="n"/>
      <c r="K56" s="430" t="n"/>
      <c r="L56" s="429" t="n"/>
      <c r="M56" s="430" t="n"/>
      <c r="N56" s="429" t="n"/>
      <c r="O56" s="430" t="n"/>
      <c r="P56" s="429" t="n"/>
      <c r="Q56" s="430" t="n"/>
      <c r="R56" s="429" t="n"/>
      <c r="S56" s="430" t="n"/>
      <c r="T56" s="429" t="n"/>
      <c r="U56" s="430" t="n"/>
      <c r="V56" s="429" t="n"/>
      <c r="W56" s="430" t="n"/>
      <c r="X56" s="315" t="n"/>
      <c r="Y56" s="316">
        <f>D56+F56+H56+J56+L56+N56+P56+R56+T56+V56</f>
        <v/>
      </c>
      <c r="Z56" s="317">
        <f>E56+G56+I56+K56+M56+O56+Q56+S56+U56+W56</f>
        <v/>
      </c>
      <c r="AA56" s="318">
        <f>Y56+Z56*2</f>
        <v/>
      </c>
      <c r="AB56" s="316" t="n"/>
      <c r="AC56" s="317" t="n"/>
      <c r="AD56" s="316" t="n"/>
      <c r="AE56" s="317" t="n"/>
      <c r="AF56" s="316" t="n"/>
      <c r="AG56" s="431" t="n"/>
      <c r="AH56" s="318" t="n"/>
    </row>
    <row r="57" ht="15" customHeight="1" s="1">
      <c r="A57" s="277" t="n"/>
      <c r="B57" s="127" t="n"/>
      <c r="C57" s="312" t="inlineStr">
        <is>
          <t>SOC</t>
        </is>
      </c>
      <c r="D57" s="429" t="n"/>
      <c r="E57" s="430" t="n"/>
      <c r="F57" s="429" t="n"/>
      <c r="G57" s="430" t="n"/>
      <c r="H57" s="429" t="n"/>
      <c r="I57" s="430" t="n"/>
      <c r="J57" s="429" t="n"/>
      <c r="K57" s="430" t="n"/>
      <c r="L57" s="429" t="n"/>
      <c r="M57" s="430" t="n"/>
      <c r="N57" s="429" t="n"/>
      <c r="O57" s="430" t="n"/>
      <c r="P57" s="429" t="n"/>
      <c r="Q57" s="430" t="n"/>
      <c r="R57" s="429" t="n"/>
      <c r="S57" s="430" t="n"/>
      <c r="T57" s="429" t="n"/>
      <c r="U57" s="430" t="n"/>
      <c r="V57" s="429" t="n"/>
      <c r="W57" s="430" t="n"/>
      <c r="X57" s="315" t="n"/>
      <c r="Y57" s="316">
        <f>D57+F57+H57+J57+L57+N57+P57+R57+T57+V57</f>
        <v/>
      </c>
      <c r="Z57" s="317">
        <f>E57+G57+I57+K57+M57+O57+Q57+S57+U57+W57</f>
        <v/>
      </c>
      <c r="AA57" s="318">
        <f>Y57+Z57*2</f>
        <v/>
      </c>
      <c r="AB57" s="316" t="n"/>
      <c r="AC57" s="317" t="n"/>
      <c r="AD57" s="316" t="n"/>
      <c r="AE57" s="317" t="n"/>
      <c r="AF57" s="316" t="n"/>
      <c r="AG57" s="431" t="n"/>
      <c r="AH57" s="318" t="n"/>
    </row>
    <row r="58" ht="15" customHeight="1" s="1">
      <c r="A58" s="277" t="n"/>
      <c r="B58" s="127" t="n"/>
      <c r="C58" s="312" t="inlineStr">
        <is>
          <t>RF</t>
        </is>
      </c>
      <c r="D58" s="429" t="n"/>
      <c r="E58" s="430" t="n"/>
      <c r="F58" s="429" t="n"/>
      <c r="G58" s="430" t="n"/>
      <c r="H58" s="429" t="n"/>
      <c r="I58" s="430" t="n"/>
      <c r="J58" s="429" t="n"/>
      <c r="K58" s="430" t="n"/>
      <c r="L58" s="429" t="n"/>
      <c r="M58" s="430" t="n"/>
      <c r="N58" s="429" t="n"/>
      <c r="O58" s="430" t="n"/>
      <c r="P58" s="429" t="n"/>
      <c r="Q58" s="430" t="n"/>
      <c r="R58" s="429" t="n"/>
      <c r="S58" s="430" t="n"/>
      <c r="T58" s="429" t="n"/>
      <c r="U58" s="430" t="n"/>
      <c r="V58" s="429" t="n"/>
      <c r="W58" s="430" t="n"/>
      <c r="X58" s="315" t="n"/>
      <c r="Y58" s="316">
        <f>D58+F58+H58+J58+L58+N58+P58+R58+T58+V58</f>
        <v/>
      </c>
      <c r="Z58" s="317">
        <f>E58+G58+I58+K58+M58+O58+Q58+S58+U58+W58</f>
        <v/>
      </c>
      <c r="AA58" s="318">
        <f>Y58+Z58*2</f>
        <v/>
      </c>
      <c r="AB58" s="316" t="n"/>
      <c r="AC58" s="317" t="n"/>
      <c r="AD58" s="316" t="n"/>
      <c r="AE58" s="317" t="n"/>
      <c r="AF58" s="316" t="n"/>
      <c r="AG58" s="431" t="n"/>
      <c r="AH58" s="318">
        <f>AH50-Y58-Z58+N98+O98</f>
        <v/>
      </c>
    </row>
    <row r="59" ht="15" customHeight="1" s="1">
      <c r="A59" s="311" t="inlineStr">
        <is>
          <t>ETB</t>
        </is>
      </c>
      <c r="B59" s="327" t="inlineStr">
        <is>
          <t>07/13</t>
        </is>
      </c>
      <c r="C59" s="312" t="inlineStr">
        <is>
          <t>MT</t>
        </is>
      </c>
      <c r="D59" s="429" t="n"/>
      <c r="E59" s="430" t="n"/>
      <c r="F59" s="429" t="n"/>
      <c r="G59" s="430" t="n"/>
      <c r="H59" s="429" t="n"/>
      <c r="I59" s="430" t="n"/>
      <c r="J59" s="429" t="n"/>
      <c r="K59" s="430" t="n"/>
      <c r="L59" s="429" t="n"/>
      <c r="M59" s="430" t="n"/>
      <c r="N59" s="429" t="n"/>
      <c r="O59" s="430" t="n"/>
      <c r="P59" s="429" t="n"/>
      <c r="Q59" s="430" t="n"/>
      <c r="R59" s="429" t="n"/>
      <c r="S59" s="430" t="n"/>
      <c r="T59" s="429" t="n"/>
      <c r="U59" s="430" t="n"/>
      <c r="V59" s="429" t="n"/>
      <c r="W59" s="430" t="n"/>
      <c r="X59" s="315" t="n"/>
      <c r="Y59" s="316">
        <f>D59+F59+H59+J59+L59+N59+P59+R59+T59+V59</f>
        <v/>
      </c>
      <c r="Z59" s="317">
        <f>E59+G59+I59+K59+M59+O59+Q59+S59+U59+W59</f>
        <v/>
      </c>
      <c r="AA59" s="318">
        <f>Y59+Z59*2</f>
        <v/>
      </c>
      <c r="AB59" s="316" t="n"/>
      <c r="AC59" s="317" t="n"/>
      <c r="AD59" s="316" t="n"/>
      <c r="AE59" s="317" t="n"/>
      <c r="AF59" s="316" t="n"/>
      <c r="AG59" s="431" t="n"/>
      <c r="AH59" s="318" t="n"/>
    </row>
    <row r="60" ht="15" customHeight="1" s="1">
      <c r="A60" s="311" t="inlineStr">
        <is>
          <t>ETD</t>
        </is>
      </c>
      <c r="B60" s="327" t="inlineStr">
        <is>
          <t>07/13</t>
        </is>
      </c>
      <c r="C60" s="312" t="inlineStr">
        <is>
          <t>Weight</t>
        </is>
      </c>
      <c r="D60" s="328" t="n"/>
      <c r="E60" s="272" t="n"/>
      <c r="F60" s="328" t="n"/>
      <c r="G60" s="272" t="n"/>
      <c r="H60" s="328" t="n"/>
      <c r="I60" s="272" t="n"/>
      <c r="J60" s="328" t="n"/>
      <c r="K60" s="272" t="n"/>
      <c r="L60" s="328" t="n"/>
      <c r="M60" s="272" t="n"/>
      <c r="N60" s="328" t="n"/>
      <c r="O60" s="272" t="n"/>
      <c r="P60" s="328" t="n"/>
      <c r="Q60" s="272" t="n"/>
      <c r="R60" s="328" t="n"/>
      <c r="S60" s="272" t="n"/>
      <c r="T60" s="328" t="n"/>
      <c r="U60" s="272" t="n"/>
      <c r="V60" s="328" t="n"/>
      <c r="W60" s="272" t="n"/>
      <c r="X60" s="173" t="n"/>
      <c r="Y60" s="432">
        <f>D60+F60+H60+J60+L60+N60+P60+R60+T60+V60</f>
        <v/>
      </c>
      <c r="Z60" s="433" t="n"/>
      <c r="AA60" s="432" t="n"/>
      <c r="AB60" s="330">
        <f>AB52+Y60-(N103)</f>
        <v/>
      </c>
      <c r="AC60" s="332">
        <f>AB60-(AB54-AC54)*2</f>
        <v/>
      </c>
      <c r="AD60" s="333">
        <f>IF(AD$2&gt;0,AB60/AD$2,0)</f>
        <v/>
      </c>
      <c r="AE60" s="334">
        <f>IF(AD$2&gt;0,AC60/AD$2,0)</f>
        <v/>
      </c>
      <c r="AF60" s="330" t="n"/>
      <c r="AG60" s="332">
        <f>AD$2-AB60</f>
        <v/>
      </c>
      <c r="AH60" s="432" t="n"/>
    </row>
    <row r="61" ht="15" customHeight="1" s="1">
      <c r="A61" s="434" t="n"/>
      <c r="B61" s="130" t="n"/>
      <c r="C61" s="337" t="inlineStr">
        <is>
          <t>TTL</t>
        </is>
      </c>
      <c r="D61" s="338">
        <f>D54+D55+D56+D57+D58+D59</f>
        <v/>
      </c>
      <c r="E61" s="339">
        <f>E54+E55+E56+E57+E58+E59</f>
        <v/>
      </c>
      <c r="F61" s="338">
        <f>F54+F55+F56+F57+F58+F59</f>
        <v/>
      </c>
      <c r="G61" s="339">
        <f>G54+G55+G56+G57+G58+G59</f>
        <v/>
      </c>
      <c r="H61" s="338">
        <f>H54+H55+H56+H57+H58+H59</f>
        <v/>
      </c>
      <c r="I61" s="339">
        <f>I54+I55+I56+I57+I58+I59</f>
        <v/>
      </c>
      <c r="J61" s="338">
        <f>J54+J55+J56+J57+J58+J59</f>
        <v/>
      </c>
      <c r="K61" s="339">
        <f>K54+K55+K56+K57+K58+K59</f>
        <v/>
      </c>
      <c r="L61" s="338">
        <f>L54+L55+L56+L57+L58+L59</f>
        <v/>
      </c>
      <c r="M61" s="339">
        <f>M54+M55+M56+M57+M58+M59</f>
        <v/>
      </c>
      <c r="N61" s="338">
        <f>N54+N55+N56+N57+N58+N59</f>
        <v/>
      </c>
      <c r="O61" s="339">
        <f>O54+O55+O56+O57+O58+O59</f>
        <v/>
      </c>
      <c r="P61" s="338">
        <f>P54+P55+P56+P57+P58+P59</f>
        <v/>
      </c>
      <c r="Q61" s="339">
        <f>Q54+Q55+Q56+Q57+Q58+Q59</f>
        <v/>
      </c>
      <c r="R61" s="338">
        <f>R54+R55+R56+R57+R58+R59</f>
        <v/>
      </c>
      <c r="S61" s="339">
        <f>S54+S55+S56+S57+S58+S59</f>
        <v/>
      </c>
      <c r="T61" s="338">
        <f>T54+T55+T56+T57+T58+T59</f>
        <v/>
      </c>
      <c r="U61" s="339">
        <f>U54+U55+U56+U57+U58+U59</f>
        <v/>
      </c>
      <c r="V61" s="338">
        <f>V54+V55+V56+V57+V58+V59</f>
        <v/>
      </c>
      <c r="W61" s="339">
        <f>W54+W55+W56+W57+W58+W59</f>
        <v/>
      </c>
      <c r="X61" s="173" t="n"/>
      <c r="Y61" s="340">
        <f>Y54+Y55+Y56+Y57+Y58+Y59</f>
        <v/>
      </c>
      <c r="Z61" s="341">
        <f>Z54+Z55+Z56+Z57+Z58+Z59</f>
        <v/>
      </c>
      <c r="AA61" s="176">
        <f>AA54+AA55+AA56+AA57+AA58+AA59</f>
        <v/>
      </c>
      <c r="AB61" s="340" t="n"/>
      <c r="AC61" s="341" t="n"/>
      <c r="AD61" s="340" t="n"/>
      <c r="AE61" s="341" t="n"/>
      <c r="AF61" s="340">
        <f>$AA$2-AB54</f>
        <v/>
      </c>
      <c r="AG61" s="332" t="n"/>
      <c r="AH61" s="176" t="n"/>
    </row>
    <row r="62" ht="15" customHeight="1" s="1">
      <c r="A62" s="428" t="inlineStr">
        <is>
          <t>INMUN</t>
        </is>
      </c>
      <c r="B62" s="127" t="n"/>
      <c r="C62" s="312" t="inlineStr">
        <is>
          <t>LILIAN</t>
        </is>
      </c>
      <c r="D62" s="429" t="n"/>
      <c r="E62" s="430" t="n"/>
      <c r="F62" s="429" t="n"/>
      <c r="G62" s="430" t="n"/>
      <c r="H62" s="429" t="n"/>
      <c r="I62" s="430" t="n"/>
      <c r="J62" s="429" t="n"/>
      <c r="K62" s="430" t="n"/>
      <c r="L62" s="429" t="n"/>
      <c r="M62" s="430" t="n"/>
      <c r="N62" s="429" t="n"/>
      <c r="O62" s="430" t="n"/>
      <c r="P62" s="429" t="n"/>
      <c r="Q62" s="430" t="n"/>
      <c r="R62" s="429" t="n"/>
      <c r="S62" s="430" t="n"/>
      <c r="T62" s="429" t="n"/>
      <c r="U62" s="430" t="n"/>
      <c r="V62" s="429" t="n"/>
      <c r="W62" s="430" t="n"/>
      <c r="X62" s="315" t="n"/>
      <c r="Y62" s="316">
        <f>D62+F62+H62+J62+L62+N62+P62+R62+T62+V62</f>
        <v/>
      </c>
      <c r="Z62" s="317">
        <f>E62+G62+I62+K62+M62+O62+Q62+S62+U62+W62</f>
        <v/>
      </c>
      <c r="AA62" s="318">
        <f>Y62+Z62*2</f>
        <v/>
      </c>
      <c r="AB62" s="316">
        <f>AB54+AA62+AA63+AA64+AA65+AA66+AA67-(P102+Q102)</f>
        <v/>
      </c>
      <c r="AC62" s="317">
        <f>AC54+AA62+AA63+AA64+AA65+AA66-(P102+Q102-(P99+Q99*2))</f>
        <v/>
      </c>
      <c r="AD62" s="319">
        <f>IF(AA$2&gt;0,AB62/AA$2,0)</f>
        <v/>
      </c>
      <c r="AE62" s="320">
        <f>IF(AA$2&gt;0,AC62/AA$2,0)</f>
        <v/>
      </c>
      <c r="AF62" s="316" t="n"/>
      <c r="AG62" s="431" t="n"/>
      <c r="AH62" s="318" t="n"/>
    </row>
    <row r="63" ht="15" customHeight="1" s="1">
      <c r="A63" s="277" t="n"/>
      <c r="B63" s="127" t="n"/>
      <c r="C63" s="312" t="inlineStr">
        <is>
          <t>SUL</t>
        </is>
      </c>
      <c r="D63" s="429" t="n"/>
      <c r="E63" s="430" t="n"/>
      <c r="F63" s="429" t="n"/>
      <c r="G63" s="430" t="n"/>
      <c r="H63" s="429" t="n"/>
      <c r="I63" s="430" t="n"/>
      <c r="J63" s="429" t="n"/>
      <c r="K63" s="430" t="n"/>
      <c r="L63" s="429" t="n"/>
      <c r="M63" s="430" t="n"/>
      <c r="N63" s="429" t="n"/>
      <c r="O63" s="430" t="n"/>
      <c r="P63" s="429" t="n"/>
      <c r="Q63" s="430" t="n"/>
      <c r="R63" s="429" t="n"/>
      <c r="S63" s="430" t="n"/>
      <c r="T63" s="429" t="n"/>
      <c r="U63" s="430" t="n"/>
      <c r="V63" s="429" t="n"/>
      <c r="W63" s="430" t="n"/>
      <c r="X63" s="315" t="n"/>
      <c r="Y63" s="316">
        <f>D63+F63+H63+J63+L63+N63+P63+R63+T63+V63</f>
        <v/>
      </c>
      <c r="Z63" s="317">
        <f>E63+G63+I63+K63+M63+O63+Q63+S63+U63+W63</f>
        <v/>
      </c>
      <c r="AA63" s="318">
        <f>Y63+Z63*2</f>
        <v/>
      </c>
      <c r="AB63" s="316" t="n"/>
      <c r="AC63" s="317" t="n"/>
      <c r="AD63" s="316" t="n"/>
      <c r="AE63" s="317" t="n"/>
      <c r="AF63" s="316" t="n"/>
      <c r="AG63" s="431" t="n"/>
      <c r="AH63" s="318" t="n"/>
    </row>
    <row r="64" ht="15" customHeight="1" s="1">
      <c r="A64" s="277" t="n"/>
      <c r="B64" s="127" t="n"/>
      <c r="C64" s="312" t="inlineStr">
        <is>
          <t>T/S</t>
        </is>
      </c>
      <c r="D64" s="429" t="n"/>
      <c r="E64" s="430" t="n"/>
      <c r="F64" s="429" t="n"/>
      <c r="G64" s="430" t="n"/>
      <c r="H64" s="429" t="n"/>
      <c r="I64" s="430" t="n"/>
      <c r="J64" s="429" t="n"/>
      <c r="K64" s="430" t="n"/>
      <c r="L64" s="429" t="n"/>
      <c r="M64" s="430" t="n"/>
      <c r="N64" s="429" t="n"/>
      <c r="O64" s="430" t="n"/>
      <c r="P64" s="429" t="n"/>
      <c r="Q64" s="430" t="n"/>
      <c r="R64" s="429" t="n"/>
      <c r="S64" s="430" t="n"/>
      <c r="T64" s="429" t="n"/>
      <c r="U64" s="430" t="n"/>
      <c r="V64" s="429" t="n"/>
      <c r="W64" s="430" t="n"/>
      <c r="X64" s="315" t="n"/>
      <c r="Y64" s="316">
        <f>D64+F64+H64+J64+L64+N64+P64+R64+T64+V64</f>
        <v/>
      </c>
      <c r="Z64" s="317">
        <f>E64+G64+I64+K64+M64+O64+Q64+S64+U64+W64</f>
        <v/>
      </c>
      <c r="AA64" s="318">
        <f>Y64+Z64*2</f>
        <v/>
      </c>
      <c r="AB64" s="316" t="n"/>
      <c r="AC64" s="317" t="n"/>
      <c r="AD64" s="316" t="n"/>
      <c r="AE64" s="317" t="n"/>
      <c r="AF64" s="316" t="n"/>
      <c r="AG64" s="431" t="n"/>
      <c r="AH64" s="318" t="n"/>
    </row>
    <row r="65" ht="15" customHeight="1" s="1">
      <c r="A65" s="277" t="n"/>
      <c r="B65" s="127" t="n"/>
      <c r="C65" s="312" t="inlineStr">
        <is>
          <t>SOC</t>
        </is>
      </c>
      <c r="D65" s="429" t="n"/>
      <c r="E65" s="430" t="n"/>
      <c r="F65" s="429" t="n"/>
      <c r="G65" s="430" t="n"/>
      <c r="H65" s="429" t="n"/>
      <c r="I65" s="430" t="n"/>
      <c r="J65" s="429" t="n"/>
      <c r="K65" s="430" t="n"/>
      <c r="L65" s="429" t="n"/>
      <c r="M65" s="430" t="n"/>
      <c r="N65" s="429" t="n"/>
      <c r="O65" s="430" t="n"/>
      <c r="P65" s="429" t="n"/>
      <c r="Q65" s="430" t="n"/>
      <c r="R65" s="429" t="n"/>
      <c r="S65" s="430" t="n"/>
      <c r="T65" s="429" t="n"/>
      <c r="U65" s="430" t="n"/>
      <c r="V65" s="429" t="n"/>
      <c r="W65" s="430" t="n"/>
      <c r="X65" s="315" t="n"/>
      <c r="Y65" s="316">
        <f>D65+F65+H65+J65+L65+N65+P65+R65+T65+V65</f>
        <v/>
      </c>
      <c r="Z65" s="317">
        <f>E65+G65+I65+K65+M65+O65+Q65+S65+U65+W65</f>
        <v/>
      </c>
      <c r="AA65" s="318">
        <f>Y65+Z65*2</f>
        <v/>
      </c>
      <c r="AB65" s="316" t="n"/>
      <c r="AC65" s="317" t="n"/>
      <c r="AD65" s="316" t="n"/>
      <c r="AE65" s="317" t="n"/>
      <c r="AF65" s="316" t="n"/>
      <c r="AG65" s="431" t="n"/>
      <c r="AH65" s="318" t="n"/>
    </row>
    <row r="66" ht="15" customHeight="1" s="1">
      <c r="A66" s="277" t="n"/>
      <c r="B66" s="127" t="n"/>
      <c r="C66" s="312" t="inlineStr">
        <is>
          <t>RF</t>
        </is>
      </c>
      <c r="D66" s="429" t="n"/>
      <c r="E66" s="430" t="n"/>
      <c r="F66" s="429" t="n"/>
      <c r="G66" s="430" t="n"/>
      <c r="H66" s="429" t="n"/>
      <c r="I66" s="430" t="n"/>
      <c r="J66" s="429" t="n"/>
      <c r="K66" s="430" t="n"/>
      <c r="L66" s="429" t="n"/>
      <c r="M66" s="430" t="n"/>
      <c r="N66" s="429" t="n"/>
      <c r="O66" s="430" t="n"/>
      <c r="P66" s="429" t="n"/>
      <c r="Q66" s="430" t="n"/>
      <c r="R66" s="429" t="n"/>
      <c r="S66" s="430" t="n"/>
      <c r="T66" s="429" t="n"/>
      <c r="U66" s="430" t="n"/>
      <c r="V66" s="429" t="n"/>
      <c r="W66" s="430" t="n"/>
      <c r="X66" s="315" t="n"/>
      <c r="Y66" s="316">
        <f>D66+F66+H66+J66+L66+N66+P66+R66+T66+V66</f>
        <v/>
      </c>
      <c r="Z66" s="317">
        <f>E66+G66+I66+K66+M66+O66+Q66+S66+U66+W66</f>
        <v/>
      </c>
      <c r="AA66" s="318">
        <f>Y66+Z66*2</f>
        <v/>
      </c>
      <c r="AB66" s="316" t="n"/>
      <c r="AC66" s="317" t="n"/>
      <c r="AD66" s="316" t="n"/>
      <c r="AE66" s="317" t="n"/>
      <c r="AF66" s="316" t="n"/>
      <c r="AG66" s="431" t="n"/>
      <c r="AH66" s="318">
        <f>AH58-Y66-Z66+P98+Q98</f>
        <v/>
      </c>
    </row>
    <row r="67" ht="15" customHeight="1" s="1">
      <c r="A67" s="311" t="inlineStr">
        <is>
          <t>ETB</t>
        </is>
      </c>
      <c r="B67" s="327" t="inlineStr">
        <is>
          <t>SKIP</t>
        </is>
      </c>
      <c r="C67" s="312" t="inlineStr">
        <is>
          <t>MT</t>
        </is>
      </c>
      <c r="D67" s="429" t="n"/>
      <c r="E67" s="430" t="n"/>
      <c r="F67" s="429" t="n"/>
      <c r="G67" s="430" t="n"/>
      <c r="H67" s="429" t="n"/>
      <c r="I67" s="430" t="n"/>
      <c r="J67" s="429" t="n"/>
      <c r="K67" s="430" t="n"/>
      <c r="L67" s="429" t="n"/>
      <c r="M67" s="430" t="n"/>
      <c r="N67" s="429" t="n"/>
      <c r="O67" s="430" t="n"/>
      <c r="P67" s="429" t="n"/>
      <c r="Q67" s="430" t="n"/>
      <c r="R67" s="429" t="n"/>
      <c r="S67" s="430" t="n"/>
      <c r="T67" s="429" t="n"/>
      <c r="U67" s="430" t="n"/>
      <c r="V67" s="429" t="n"/>
      <c r="W67" s="430" t="n"/>
      <c r="X67" s="315" t="n"/>
      <c r="Y67" s="316">
        <f>D67+F67+H67+J67+L67+N67+P67+R67+T67+V67</f>
        <v/>
      </c>
      <c r="Z67" s="317">
        <f>E67+G67+I67+K67+M67+O67+Q67+S67+U67+W67</f>
        <v/>
      </c>
      <c r="AA67" s="318">
        <f>Y67+Z67*2</f>
        <v/>
      </c>
      <c r="AB67" s="316" t="n"/>
      <c r="AC67" s="317" t="n"/>
      <c r="AD67" s="316" t="n"/>
      <c r="AE67" s="317" t="n"/>
      <c r="AF67" s="316" t="n"/>
      <c r="AG67" s="431" t="n"/>
      <c r="AH67" s="318" t="n"/>
    </row>
    <row r="68" ht="15" customHeight="1" s="1">
      <c r="A68" s="311" t="inlineStr">
        <is>
          <t>ETD</t>
        </is>
      </c>
      <c r="B68" s="327" t="inlineStr">
        <is>
          <t>SKIP</t>
        </is>
      </c>
      <c r="C68" s="312" t="inlineStr">
        <is>
          <t>Weight</t>
        </is>
      </c>
      <c r="D68" s="328" t="n"/>
      <c r="E68" s="272" t="n"/>
      <c r="F68" s="328" t="n"/>
      <c r="G68" s="272" t="n"/>
      <c r="H68" s="328" t="n"/>
      <c r="I68" s="272" t="n"/>
      <c r="J68" s="328" t="n"/>
      <c r="K68" s="272" t="n"/>
      <c r="L68" s="328" t="n"/>
      <c r="M68" s="272" t="n"/>
      <c r="N68" s="328" t="n"/>
      <c r="O68" s="272" t="n"/>
      <c r="P68" s="328" t="n"/>
      <c r="Q68" s="272" t="n"/>
      <c r="R68" s="328" t="n"/>
      <c r="S68" s="272" t="n"/>
      <c r="T68" s="328" t="n"/>
      <c r="U68" s="272" t="n"/>
      <c r="V68" s="328" t="n"/>
      <c r="W68" s="272" t="n"/>
      <c r="X68" s="173" t="n"/>
      <c r="Y68" s="432">
        <f>D68+F68+H68+J68+L68+N68+P68+R68+T68+V68</f>
        <v/>
      </c>
      <c r="Z68" s="433" t="n"/>
      <c r="AA68" s="432" t="n"/>
      <c r="AB68" s="330">
        <f>AB60+Y68-(P103)</f>
        <v/>
      </c>
      <c r="AC68" s="332">
        <f>AB68-(AB62-AC62)*2</f>
        <v/>
      </c>
      <c r="AD68" s="333">
        <f>IF(AD$2&gt;0,AB68/AD$2,0)</f>
        <v/>
      </c>
      <c r="AE68" s="334">
        <f>IF(AD$2&gt;0,AC68/AD$2,0)</f>
        <v/>
      </c>
      <c r="AF68" s="330" t="n"/>
      <c r="AG68" s="332">
        <f>AD$2-AB68</f>
        <v/>
      </c>
      <c r="AH68" s="432" t="n"/>
    </row>
    <row r="69" ht="15" customHeight="1" s="1">
      <c r="A69" s="434" t="n"/>
      <c r="B69" s="130" t="n"/>
      <c r="C69" s="337" t="inlineStr">
        <is>
          <t>TTL</t>
        </is>
      </c>
      <c r="D69" s="338">
        <f>D62+D63+D64+D65+D66+D67</f>
        <v/>
      </c>
      <c r="E69" s="339">
        <f>E62+E63+E64+E65+E66+E67</f>
        <v/>
      </c>
      <c r="F69" s="338">
        <f>F62+F63+F64+F65+F66+F67</f>
        <v/>
      </c>
      <c r="G69" s="339">
        <f>G62+G63+G64+G65+G66+G67</f>
        <v/>
      </c>
      <c r="H69" s="338">
        <f>H62+H63+H64+H65+H66+H67</f>
        <v/>
      </c>
      <c r="I69" s="339">
        <f>I62+I63+I64+I65+I66+I67</f>
        <v/>
      </c>
      <c r="J69" s="338">
        <f>J62+J63+J64+J65+J66+J67</f>
        <v/>
      </c>
      <c r="K69" s="339">
        <f>K62+K63+K64+K65+K66+K67</f>
        <v/>
      </c>
      <c r="L69" s="338">
        <f>L62+L63+L64+L65+L66+L67</f>
        <v/>
      </c>
      <c r="M69" s="339">
        <f>M62+M63+M64+M65+M66+M67</f>
        <v/>
      </c>
      <c r="N69" s="338">
        <f>N62+N63+N64+N65+N66+N67</f>
        <v/>
      </c>
      <c r="O69" s="339">
        <f>O62+O63+O64+O65+O66+O67</f>
        <v/>
      </c>
      <c r="P69" s="338">
        <f>P62+P63+P64+P65+P66+P67</f>
        <v/>
      </c>
      <c r="Q69" s="339">
        <f>Q62+Q63+Q64+Q65+Q66+Q67</f>
        <v/>
      </c>
      <c r="R69" s="338">
        <f>R62+R63+R64+R65+R66+R67</f>
        <v/>
      </c>
      <c r="S69" s="339">
        <f>S62+S63+S64+S65+S66+S67</f>
        <v/>
      </c>
      <c r="T69" s="338">
        <f>T62+T63+T64+T65+T66+T67</f>
        <v/>
      </c>
      <c r="U69" s="339">
        <f>U62+U63+U64+U65+U66+U67</f>
        <v/>
      </c>
      <c r="V69" s="338">
        <f>V62+V63+V64+V65+V66+V67</f>
        <v/>
      </c>
      <c r="W69" s="339">
        <f>W62+W63+W64+W65+W66+W67</f>
        <v/>
      </c>
      <c r="X69" s="173" t="n"/>
      <c r="Y69" s="340">
        <f>Y62+Y63+Y64+Y65+Y66+Y67</f>
        <v/>
      </c>
      <c r="Z69" s="341">
        <f>Z62+Z63+Z64+Z65+Z66+Z67</f>
        <v/>
      </c>
      <c r="AA69" s="176">
        <f>AA62+AA63+AA64+AA65+AA66+AA67</f>
        <v/>
      </c>
      <c r="AB69" s="340" t="n"/>
      <c r="AC69" s="341" t="n"/>
      <c r="AD69" s="340" t="n"/>
      <c r="AE69" s="341" t="n"/>
      <c r="AF69" s="340">
        <f>$AA$2-AB62</f>
        <v/>
      </c>
      <c r="AG69" s="332" t="n"/>
      <c r="AH69" s="176" t="n"/>
    </row>
    <row r="70" ht="15" customHeight="1" s="1">
      <c r="A70" s="428" t="inlineStr">
        <is>
          <t>PKKHI</t>
        </is>
      </c>
      <c r="B70" s="127" t="n"/>
      <c r="C70" s="312" t="inlineStr">
        <is>
          <t>LILIAN</t>
        </is>
      </c>
      <c r="D70" s="429" t="n"/>
      <c r="E70" s="430" t="n"/>
      <c r="F70" s="429" t="n"/>
      <c r="G70" s="430" t="n"/>
      <c r="H70" s="429" t="n"/>
      <c r="I70" s="430" t="n"/>
      <c r="J70" s="429" t="n"/>
      <c r="K70" s="430" t="n"/>
      <c r="L70" s="429" t="n"/>
      <c r="M70" s="430" t="n"/>
      <c r="N70" s="429" t="n"/>
      <c r="O70" s="430" t="n"/>
      <c r="P70" s="429" t="n"/>
      <c r="Q70" s="430" t="n"/>
      <c r="R70" s="429" t="n"/>
      <c r="S70" s="430" t="n"/>
      <c r="T70" s="429" t="n"/>
      <c r="U70" s="430" t="n"/>
      <c r="V70" s="429" t="n"/>
      <c r="W70" s="430" t="n"/>
      <c r="X70" s="315" t="n"/>
      <c r="Y70" s="316">
        <f>D70+F70+H70+J70+L70+N70+P70+R70+T70+V70</f>
        <v/>
      </c>
      <c r="Z70" s="317">
        <f>E70+G70+I70+K70+M70+O70+Q70+S70+U70+W70</f>
        <v/>
      </c>
      <c r="AA70" s="318">
        <f>Y70+Z70*2</f>
        <v/>
      </c>
      <c r="AB70" s="316">
        <f>AB62+AA70+AA71+AA72+AA73+AA74+AA75-(R102+S102)</f>
        <v/>
      </c>
      <c r="AC70" s="317">
        <f>AC62+AA70+AA71+AA72+AA73+AA74-(R102+S102-(R99+S99*2))</f>
        <v/>
      </c>
      <c r="AD70" s="319">
        <f>IF(AA$2&gt;0,AB70/AA$2,0)</f>
        <v/>
      </c>
      <c r="AE70" s="320">
        <f>IF(AA$2&gt;0,AC70/AA$2,0)</f>
        <v/>
      </c>
      <c r="AF70" s="316" t="n"/>
      <c r="AG70" s="431" t="n"/>
      <c r="AH70" s="318" t="n"/>
    </row>
    <row r="71" ht="15" customHeight="1" s="1">
      <c r="A71" s="277" t="n"/>
      <c r="B71" s="127" t="n"/>
      <c r="C71" s="312" t="inlineStr">
        <is>
          <t>SUL</t>
        </is>
      </c>
      <c r="D71" s="429" t="n"/>
      <c r="E71" s="430" t="n"/>
      <c r="F71" s="429" t="n"/>
      <c r="G71" s="430" t="n"/>
      <c r="H71" s="429" t="n"/>
      <c r="I71" s="430" t="n"/>
      <c r="J71" s="429" t="n"/>
      <c r="K71" s="430" t="n"/>
      <c r="L71" s="429" t="n"/>
      <c r="M71" s="430" t="n"/>
      <c r="N71" s="429" t="n"/>
      <c r="O71" s="430" t="n"/>
      <c r="P71" s="429" t="n"/>
      <c r="Q71" s="430" t="n"/>
      <c r="R71" s="429" t="n"/>
      <c r="S71" s="430" t="n"/>
      <c r="T71" s="429" t="n"/>
      <c r="U71" s="430" t="n"/>
      <c r="V71" s="429" t="n"/>
      <c r="W71" s="430" t="n"/>
      <c r="X71" s="315" t="n"/>
      <c r="Y71" s="316">
        <f>D71+F71+H71+J71+L71+N71+P71+R71+T71+V71</f>
        <v/>
      </c>
      <c r="Z71" s="317">
        <f>E71+G71+I71+K71+M71+O71+Q71+S71+U71+W71</f>
        <v/>
      </c>
      <c r="AA71" s="318">
        <f>Y71+Z71*2</f>
        <v/>
      </c>
      <c r="AB71" s="316" t="n"/>
      <c r="AC71" s="317" t="n"/>
      <c r="AD71" s="316" t="n"/>
      <c r="AE71" s="317" t="n"/>
      <c r="AF71" s="316" t="n"/>
      <c r="AG71" s="431" t="n"/>
      <c r="AH71" s="318" t="n"/>
    </row>
    <row r="72" ht="15" customHeight="1" s="1">
      <c r="A72" s="277" t="n"/>
      <c r="B72" s="127" t="n"/>
      <c r="C72" s="312" t="inlineStr">
        <is>
          <t>T/S</t>
        </is>
      </c>
      <c r="D72" s="429" t="n"/>
      <c r="E72" s="430" t="n"/>
      <c r="F72" s="429" t="n"/>
      <c r="G72" s="430" t="n"/>
      <c r="H72" s="429" t="n"/>
      <c r="I72" s="430" t="n"/>
      <c r="J72" s="429" t="n"/>
      <c r="K72" s="430" t="n"/>
      <c r="L72" s="429" t="n"/>
      <c r="M72" s="430" t="n"/>
      <c r="N72" s="429" t="n"/>
      <c r="O72" s="430" t="n"/>
      <c r="P72" s="429" t="n"/>
      <c r="Q72" s="430" t="n"/>
      <c r="R72" s="429" t="n"/>
      <c r="S72" s="430" t="n"/>
      <c r="T72" s="429" t="n"/>
      <c r="U72" s="430" t="n"/>
      <c r="V72" s="429" t="n"/>
      <c r="W72" s="430" t="n"/>
      <c r="X72" s="315" t="n"/>
      <c r="Y72" s="316">
        <f>D72+F72+H72+J72+L72+N72+P72+R72+T72+V72</f>
        <v/>
      </c>
      <c r="Z72" s="317">
        <f>E72+G72+I72+K72+M72+O72+Q72+S72+U72+W72</f>
        <v/>
      </c>
      <c r="AA72" s="318">
        <f>Y72+Z72*2</f>
        <v/>
      </c>
      <c r="AB72" s="316" t="n"/>
      <c r="AC72" s="317" t="n"/>
      <c r="AD72" s="316" t="n"/>
      <c r="AE72" s="317" t="n"/>
      <c r="AF72" s="316" t="n"/>
      <c r="AG72" s="431" t="n"/>
      <c r="AH72" s="318" t="n"/>
    </row>
    <row r="73" ht="15" customHeight="1" s="1">
      <c r="A73" s="277" t="n"/>
      <c r="B73" s="127" t="n"/>
      <c r="C73" s="312" t="inlineStr">
        <is>
          <t>SOC</t>
        </is>
      </c>
      <c r="D73" s="429" t="n"/>
      <c r="E73" s="430" t="n"/>
      <c r="F73" s="429" t="n"/>
      <c r="G73" s="430" t="n"/>
      <c r="H73" s="429" t="n"/>
      <c r="I73" s="430" t="n"/>
      <c r="J73" s="429" t="n"/>
      <c r="K73" s="430" t="n"/>
      <c r="L73" s="429" t="n"/>
      <c r="M73" s="430" t="n"/>
      <c r="N73" s="429" t="n"/>
      <c r="O73" s="430" t="n"/>
      <c r="P73" s="429" t="n"/>
      <c r="Q73" s="430" t="n"/>
      <c r="R73" s="429" t="n"/>
      <c r="S73" s="430" t="n"/>
      <c r="T73" s="429" t="n"/>
      <c r="U73" s="430" t="n"/>
      <c r="V73" s="429" t="n"/>
      <c r="W73" s="430" t="n"/>
      <c r="X73" s="315" t="n"/>
      <c r="Y73" s="316">
        <f>D73+F73+H73+J73+L73+N73+P73+R73+T73+V73</f>
        <v/>
      </c>
      <c r="Z73" s="317">
        <f>E73+G73+I73+K73+M73+O73+Q73+S73+U73+W73</f>
        <v/>
      </c>
      <c r="AA73" s="318">
        <f>Y73+Z73*2</f>
        <v/>
      </c>
      <c r="AB73" s="316" t="n"/>
      <c r="AC73" s="317" t="n"/>
      <c r="AD73" s="316" t="n"/>
      <c r="AE73" s="317" t="n"/>
      <c r="AF73" s="316" t="n"/>
      <c r="AG73" s="431" t="n"/>
      <c r="AH73" s="318" t="n"/>
    </row>
    <row r="74" ht="15" customHeight="1" s="1">
      <c r="A74" s="277" t="n"/>
      <c r="B74" s="127" t="n"/>
      <c r="C74" s="312" t="inlineStr">
        <is>
          <t>RF</t>
        </is>
      </c>
      <c r="D74" s="429" t="n"/>
      <c r="E74" s="430" t="n"/>
      <c r="F74" s="429" t="n"/>
      <c r="G74" s="430" t="n"/>
      <c r="H74" s="429" t="n"/>
      <c r="I74" s="430" t="n"/>
      <c r="J74" s="429" t="n"/>
      <c r="K74" s="430" t="n"/>
      <c r="L74" s="429" t="n"/>
      <c r="M74" s="430" t="n"/>
      <c r="N74" s="429" t="n"/>
      <c r="O74" s="430" t="n"/>
      <c r="P74" s="429" t="n"/>
      <c r="Q74" s="430" t="n"/>
      <c r="R74" s="429" t="n"/>
      <c r="S74" s="430" t="n"/>
      <c r="T74" s="429" t="n"/>
      <c r="U74" s="430" t="n"/>
      <c r="V74" s="429" t="n"/>
      <c r="W74" s="430" t="n"/>
      <c r="X74" s="315" t="n"/>
      <c r="Y74" s="316">
        <f>D74+F74+H74+J74+L74+N74+P74+R74+T74+V74</f>
        <v/>
      </c>
      <c r="Z74" s="317">
        <f>E74+G74+I74+K74+M74+O74+Q74+S74+U74+W74</f>
        <v/>
      </c>
      <c r="AA74" s="318">
        <f>Y74+Z74*2</f>
        <v/>
      </c>
      <c r="AB74" s="316" t="n"/>
      <c r="AC74" s="317" t="n"/>
      <c r="AD74" s="316" t="n"/>
      <c r="AE74" s="317" t="n"/>
      <c r="AF74" s="316" t="n"/>
      <c r="AG74" s="431" t="n"/>
      <c r="AH74" s="318">
        <f>AH66-Y74-Z74+R98+S98</f>
        <v/>
      </c>
    </row>
    <row r="75" ht="15" customHeight="1" s="1">
      <c r="A75" s="311" t="inlineStr">
        <is>
          <t>ETB</t>
        </is>
      </c>
      <c r="B75" s="327" t="inlineStr">
        <is>
          <t>07/30</t>
        </is>
      </c>
      <c r="C75" s="312" t="inlineStr">
        <is>
          <t>MT</t>
        </is>
      </c>
      <c r="D75" s="429" t="n"/>
      <c r="E75" s="430" t="n"/>
      <c r="F75" s="429" t="n"/>
      <c r="G75" s="430" t="n"/>
      <c r="H75" s="429" t="n"/>
      <c r="I75" s="430" t="n"/>
      <c r="J75" s="429" t="n"/>
      <c r="K75" s="430" t="n"/>
      <c r="L75" s="429" t="n"/>
      <c r="M75" s="430" t="n"/>
      <c r="N75" s="429" t="n"/>
      <c r="O75" s="430" t="n"/>
      <c r="P75" s="429" t="n"/>
      <c r="Q75" s="430" t="n"/>
      <c r="R75" s="429" t="n"/>
      <c r="S75" s="430" t="n"/>
      <c r="T75" s="429" t="n"/>
      <c r="U75" s="430" t="n"/>
      <c r="V75" s="429" t="n"/>
      <c r="W75" s="430" t="n"/>
      <c r="X75" s="315" t="n"/>
      <c r="Y75" s="316">
        <f>D75+F75+H75+J75+L75+N75+P75+R75+T75+V75</f>
        <v/>
      </c>
      <c r="Z75" s="317">
        <f>E75+G75+I75+K75+M75+O75+Q75+S75+U75+W75</f>
        <v/>
      </c>
      <c r="AA75" s="318">
        <f>Y75+Z75*2</f>
        <v/>
      </c>
      <c r="AB75" s="316" t="n"/>
      <c r="AC75" s="317" t="n"/>
      <c r="AD75" s="316" t="n"/>
      <c r="AE75" s="317" t="n"/>
      <c r="AF75" s="316" t="n"/>
      <c r="AG75" s="431" t="n"/>
      <c r="AH75" s="318" t="n"/>
    </row>
    <row r="76" ht="15" customHeight="1" s="1">
      <c r="A76" s="311" t="inlineStr">
        <is>
          <t>ETD</t>
        </is>
      </c>
      <c r="B76" s="327" t="inlineStr">
        <is>
          <t>08/01</t>
        </is>
      </c>
      <c r="C76" s="312" t="inlineStr">
        <is>
          <t>Weight</t>
        </is>
      </c>
      <c r="D76" s="328" t="n"/>
      <c r="E76" s="272" t="n"/>
      <c r="F76" s="328" t="n"/>
      <c r="G76" s="272" t="n"/>
      <c r="H76" s="328" t="n"/>
      <c r="I76" s="272" t="n"/>
      <c r="J76" s="328" t="n"/>
      <c r="K76" s="272" t="n"/>
      <c r="L76" s="328" t="n"/>
      <c r="M76" s="272" t="n"/>
      <c r="N76" s="328" t="n"/>
      <c r="O76" s="272" t="n"/>
      <c r="P76" s="328" t="n"/>
      <c r="Q76" s="272" t="n"/>
      <c r="R76" s="328" t="n"/>
      <c r="S76" s="272" t="n"/>
      <c r="T76" s="328" t="n"/>
      <c r="U76" s="272" t="n"/>
      <c r="V76" s="328" t="n"/>
      <c r="W76" s="272" t="n"/>
      <c r="X76" s="173" t="n"/>
      <c r="Y76" s="432">
        <f>D76+F76+H76+J76+L76+N76+P76+R76+T76+V76</f>
        <v/>
      </c>
      <c r="Z76" s="433" t="n"/>
      <c r="AA76" s="432" t="n"/>
      <c r="AB76" s="330">
        <f>AB68+Y76-(R103)</f>
        <v/>
      </c>
      <c r="AC76" s="332">
        <f>AB76-(AB70-AC70)*2</f>
        <v/>
      </c>
      <c r="AD76" s="333">
        <f>IF(AD$2&gt;0,AB76/AD$2,0)</f>
        <v/>
      </c>
      <c r="AE76" s="334">
        <f>IF(AD$2&gt;0,AC76/AD$2,0)</f>
        <v/>
      </c>
      <c r="AF76" s="330" t="n"/>
      <c r="AG76" s="332">
        <f>AD$2-AB76</f>
        <v/>
      </c>
      <c r="AH76" s="432" t="n"/>
    </row>
    <row r="77" ht="15" customHeight="1" s="1">
      <c r="A77" s="434" t="n"/>
      <c r="B77" s="130" t="n"/>
      <c r="C77" s="337" t="inlineStr">
        <is>
          <t>TTL</t>
        </is>
      </c>
      <c r="D77" s="338">
        <f>D70+D71+D72+D73+D74+D75</f>
        <v/>
      </c>
      <c r="E77" s="339">
        <f>E70+E71+E72+E73+E74+E75</f>
        <v/>
      </c>
      <c r="F77" s="338">
        <f>F70+F71+F72+F73+F74+F75</f>
        <v/>
      </c>
      <c r="G77" s="339">
        <f>G70+G71+G72+G73+G74+G75</f>
        <v/>
      </c>
      <c r="H77" s="338">
        <f>H70+H71+H72+H73+H74+H75</f>
        <v/>
      </c>
      <c r="I77" s="339">
        <f>I70+I71+I72+I73+I74+I75</f>
        <v/>
      </c>
      <c r="J77" s="338">
        <f>J70+J71+J72+J73+J74+J75</f>
        <v/>
      </c>
      <c r="K77" s="339">
        <f>K70+K71+K72+K73+K74+K75</f>
        <v/>
      </c>
      <c r="L77" s="338">
        <f>L70+L71+L72+L73+L74+L75</f>
        <v/>
      </c>
      <c r="M77" s="339">
        <f>M70+M71+M72+M73+M74+M75</f>
        <v/>
      </c>
      <c r="N77" s="338">
        <f>N70+N71+N72+N73+N74+N75</f>
        <v/>
      </c>
      <c r="O77" s="339">
        <f>O70+O71+O72+O73+O74+O75</f>
        <v/>
      </c>
      <c r="P77" s="338">
        <f>P70+P71+P72+P73+P74+P75</f>
        <v/>
      </c>
      <c r="Q77" s="339">
        <f>Q70+Q71+Q72+Q73+Q74+Q75</f>
        <v/>
      </c>
      <c r="R77" s="338">
        <f>R70+R71+R72+R73+R74+R75</f>
        <v/>
      </c>
      <c r="S77" s="339">
        <f>S70+S71+S72+S73+S74+S75</f>
        <v/>
      </c>
      <c r="T77" s="338">
        <f>T70+T71+T72+T73+T74+T75</f>
        <v/>
      </c>
      <c r="U77" s="339">
        <f>U70+U71+U72+U73+U74+U75</f>
        <v/>
      </c>
      <c r="V77" s="338">
        <f>V70+V71+V72+V73+V74+V75</f>
        <v/>
      </c>
      <c r="W77" s="339">
        <f>W70+W71+W72+W73+W74+W75</f>
        <v/>
      </c>
      <c r="X77" s="173" t="n"/>
      <c r="Y77" s="340">
        <f>Y70+Y71+Y72+Y73+Y74+Y75</f>
        <v/>
      </c>
      <c r="Z77" s="341">
        <f>Z70+Z71+Z72+Z73+Z74+Z75</f>
        <v/>
      </c>
      <c r="AA77" s="176">
        <f>AA70+AA71+AA72+AA73+AA74+AA75</f>
        <v/>
      </c>
      <c r="AB77" s="340" t="n"/>
      <c r="AC77" s="341" t="n"/>
      <c r="AD77" s="340" t="n"/>
      <c r="AE77" s="341" t="n"/>
      <c r="AF77" s="340">
        <f>$AA$2-AB70</f>
        <v/>
      </c>
      <c r="AG77" s="332" t="n"/>
      <c r="AH77" s="176" t="n"/>
    </row>
    <row r="78" ht="15" customHeight="1" s="1">
      <c r="A78" s="428" t="inlineStr">
        <is>
          <t>OMSOH</t>
        </is>
      </c>
      <c r="B78" s="127" t="n"/>
      <c r="C78" s="312" t="inlineStr">
        <is>
          <t>LILIAN</t>
        </is>
      </c>
      <c r="D78" s="429" t="n"/>
      <c r="E78" s="430" t="n"/>
      <c r="F78" s="429" t="n"/>
      <c r="G78" s="430" t="n"/>
      <c r="H78" s="429" t="n"/>
      <c r="I78" s="430" t="n"/>
      <c r="J78" s="429" t="n"/>
      <c r="K78" s="430" t="n"/>
      <c r="L78" s="429" t="n"/>
      <c r="M78" s="430" t="n"/>
      <c r="N78" s="429" t="n"/>
      <c r="O78" s="430" t="n"/>
      <c r="P78" s="429" t="n"/>
      <c r="Q78" s="430" t="n"/>
      <c r="R78" s="429" t="n"/>
      <c r="S78" s="430" t="n"/>
      <c r="T78" s="429" t="n"/>
      <c r="U78" s="430" t="n"/>
      <c r="V78" s="429" t="n"/>
      <c r="W78" s="430" t="n"/>
      <c r="X78" s="315" t="n"/>
      <c r="Y78" s="316">
        <f>D78+F78+H78+J78+L78+N78+P78+R78+T78+V78</f>
        <v/>
      </c>
      <c r="Z78" s="317">
        <f>E78+G78+I78+K78+M78+O78+Q78+S78+U78+W78</f>
        <v/>
      </c>
      <c r="AA78" s="318">
        <f>Y78+Z78*2</f>
        <v/>
      </c>
      <c r="AB78" s="316">
        <f>AB70+AA78+AA79+AA80+AA81+AA82+AA83-(T102+U102)</f>
        <v/>
      </c>
      <c r="AC78" s="317">
        <f>AC70+AA78+AA79+AA80+AA81+AA82-(T102+U102-(T99+U99*2))</f>
        <v/>
      </c>
      <c r="AD78" s="319">
        <f>IF(AA$2&gt;0,AB78/AA$2,0)</f>
        <v/>
      </c>
      <c r="AE78" s="320">
        <f>IF(AA$2&gt;0,AC78/AA$2,0)</f>
        <v/>
      </c>
      <c r="AF78" s="316" t="n"/>
      <c r="AG78" s="431" t="n"/>
      <c r="AH78" s="318" t="n"/>
    </row>
    <row r="79" ht="15" customHeight="1" s="1">
      <c r="A79" s="277" t="n"/>
      <c r="B79" s="127" t="n"/>
      <c r="C79" s="312" t="inlineStr">
        <is>
          <t>SUL</t>
        </is>
      </c>
      <c r="D79" s="429" t="n"/>
      <c r="E79" s="430" t="n"/>
      <c r="F79" s="429" t="n"/>
      <c r="G79" s="430" t="n"/>
      <c r="H79" s="429" t="n"/>
      <c r="I79" s="430" t="n"/>
      <c r="J79" s="429" t="n"/>
      <c r="K79" s="430" t="n"/>
      <c r="L79" s="429" t="n"/>
      <c r="M79" s="430" t="n"/>
      <c r="N79" s="429" t="n"/>
      <c r="O79" s="430" t="n"/>
      <c r="P79" s="429" t="n"/>
      <c r="Q79" s="430" t="n"/>
      <c r="R79" s="429" t="n"/>
      <c r="S79" s="430" t="n"/>
      <c r="T79" s="429" t="n"/>
      <c r="U79" s="430" t="n"/>
      <c r="V79" s="429" t="n"/>
      <c r="W79" s="430" t="n"/>
      <c r="X79" s="315" t="n"/>
      <c r="Y79" s="316">
        <f>D79+F79+H79+J79+L79+N79+P79+R79+T79+V79</f>
        <v/>
      </c>
      <c r="Z79" s="317">
        <f>E79+G79+I79+K79+M79+O79+Q79+S79+U79+W79</f>
        <v/>
      </c>
      <c r="AA79" s="318">
        <f>Y79+Z79*2</f>
        <v/>
      </c>
      <c r="AB79" s="316" t="n"/>
      <c r="AC79" s="317" t="n"/>
      <c r="AD79" s="316" t="n"/>
      <c r="AE79" s="317" t="n"/>
      <c r="AF79" s="316" t="n"/>
      <c r="AG79" s="431" t="n"/>
      <c r="AH79" s="318" t="n"/>
    </row>
    <row r="80" ht="15" customHeight="1" s="1">
      <c r="A80" s="277" t="n"/>
      <c r="B80" s="127" t="n"/>
      <c r="C80" s="312" t="inlineStr">
        <is>
          <t>T/S</t>
        </is>
      </c>
      <c r="D80" s="429" t="n"/>
      <c r="E80" s="430" t="n"/>
      <c r="F80" s="429" t="n"/>
      <c r="G80" s="430" t="n"/>
      <c r="H80" s="429" t="n"/>
      <c r="I80" s="430" t="n"/>
      <c r="J80" s="429" t="n"/>
      <c r="K80" s="430" t="n"/>
      <c r="L80" s="429" t="n"/>
      <c r="M80" s="430" t="n"/>
      <c r="N80" s="429" t="n"/>
      <c r="O80" s="430" t="n"/>
      <c r="P80" s="429" t="n"/>
      <c r="Q80" s="430" t="n"/>
      <c r="R80" s="429" t="n"/>
      <c r="S80" s="430" t="n"/>
      <c r="T80" s="429" t="n"/>
      <c r="U80" s="430" t="n"/>
      <c r="V80" s="429" t="n"/>
      <c r="W80" s="430" t="n"/>
      <c r="X80" s="315" t="n"/>
      <c r="Y80" s="316">
        <f>D80+F80+H80+J80+L80+N80+P80+R80+T80+V80</f>
        <v/>
      </c>
      <c r="Z80" s="317">
        <f>E80+G80+I80+K80+M80+O80+Q80+S80+U80+W80</f>
        <v/>
      </c>
      <c r="AA80" s="318">
        <f>Y80+Z80*2</f>
        <v/>
      </c>
      <c r="AB80" s="316" t="n"/>
      <c r="AC80" s="317" t="n"/>
      <c r="AD80" s="316" t="n"/>
      <c r="AE80" s="317" t="n"/>
      <c r="AF80" s="316" t="n"/>
      <c r="AG80" s="431" t="n"/>
      <c r="AH80" s="318" t="n"/>
    </row>
    <row r="81" ht="15" customHeight="1" s="1">
      <c r="A81" s="277" t="n"/>
      <c r="B81" s="127" t="n"/>
      <c r="C81" s="312" t="inlineStr">
        <is>
          <t>SOC</t>
        </is>
      </c>
      <c r="D81" s="429" t="n"/>
      <c r="E81" s="430" t="n"/>
      <c r="F81" s="429" t="n"/>
      <c r="G81" s="430" t="n"/>
      <c r="H81" s="429" t="n"/>
      <c r="I81" s="430" t="n"/>
      <c r="J81" s="429" t="n"/>
      <c r="K81" s="430" t="n"/>
      <c r="L81" s="429" t="n"/>
      <c r="M81" s="430" t="n"/>
      <c r="N81" s="429" t="n"/>
      <c r="O81" s="430" t="n"/>
      <c r="P81" s="429" t="n"/>
      <c r="Q81" s="430" t="n"/>
      <c r="R81" s="429" t="n"/>
      <c r="S81" s="430" t="n"/>
      <c r="T81" s="429" t="n"/>
      <c r="U81" s="430" t="n"/>
      <c r="V81" s="429" t="n"/>
      <c r="W81" s="430" t="n"/>
      <c r="X81" s="315" t="n"/>
      <c r="Y81" s="316">
        <f>D81+F81+H81+J81+L81+N81+P81+R81+T81+V81</f>
        <v/>
      </c>
      <c r="Z81" s="317">
        <f>E81+G81+I81+K81+M81+O81+Q81+S81+U81+W81</f>
        <v/>
      </c>
      <c r="AA81" s="318">
        <f>Y81+Z81*2</f>
        <v/>
      </c>
      <c r="AB81" s="316" t="n"/>
      <c r="AC81" s="317" t="n"/>
      <c r="AD81" s="316" t="n"/>
      <c r="AE81" s="317" t="n"/>
      <c r="AF81" s="316" t="n"/>
      <c r="AG81" s="431" t="n"/>
      <c r="AH81" s="318" t="n"/>
    </row>
    <row r="82" ht="15" customHeight="1" s="1">
      <c r="A82" s="277" t="n"/>
      <c r="B82" s="127" t="n"/>
      <c r="C82" s="312" t="inlineStr">
        <is>
          <t>RF</t>
        </is>
      </c>
      <c r="D82" s="429" t="n"/>
      <c r="E82" s="430" t="n"/>
      <c r="F82" s="429" t="n"/>
      <c r="G82" s="430" t="n"/>
      <c r="H82" s="429" t="n"/>
      <c r="I82" s="430" t="n"/>
      <c r="J82" s="429" t="n"/>
      <c r="K82" s="430" t="n"/>
      <c r="L82" s="429" t="n"/>
      <c r="M82" s="430" t="n"/>
      <c r="N82" s="429" t="n"/>
      <c r="O82" s="430" t="n"/>
      <c r="P82" s="429" t="n"/>
      <c r="Q82" s="430" t="n"/>
      <c r="R82" s="429" t="n"/>
      <c r="S82" s="430" t="n"/>
      <c r="T82" s="429" t="n"/>
      <c r="U82" s="430" t="n"/>
      <c r="V82" s="429" t="n"/>
      <c r="W82" s="430" t="n"/>
      <c r="X82" s="315" t="n"/>
      <c r="Y82" s="316">
        <f>D82+F82+H82+J82+L82+N82+P82+R82+T82+V82</f>
        <v/>
      </c>
      <c r="Z82" s="317">
        <f>E82+G82+I82+K82+M82+O82+Q82+S82+U82+W82</f>
        <v/>
      </c>
      <c r="AA82" s="318">
        <f>Y82+Z82*2</f>
        <v/>
      </c>
      <c r="AB82" s="316" t="n"/>
      <c r="AC82" s="317" t="n"/>
      <c r="AD82" s="316" t="n"/>
      <c r="AE82" s="317" t="n"/>
      <c r="AF82" s="316" t="n"/>
      <c r="AG82" s="431" t="n"/>
      <c r="AH82" s="318">
        <f>AH74-Y82-Z82+T98+U98</f>
        <v/>
      </c>
    </row>
    <row r="83" ht="15" customHeight="1" s="1">
      <c r="A83" s="311" t="inlineStr">
        <is>
          <t>ETB</t>
        </is>
      </c>
      <c r="B83" s="327" t="inlineStr">
        <is>
          <t>07/26</t>
        </is>
      </c>
      <c r="C83" s="312" t="inlineStr">
        <is>
          <t>MT</t>
        </is>
      </c>
      <c r="D83" s="429" t="n"/>
      <c r="E83" s="430" t="n"/>
      <c r="F83" s="429" t="n"/>
      <c r="G83" s="430" t="n"/>
      <c r="H83" s="429" t="n"/>
      <c r="I83" s="430" t="n"/>
      <c r="J83" s="429" t="n"/>
      <c r="K83" s="430" t="n"/>
      <c r="L83" s="429" t="n"/>
      <c r="M83" s="430" t="n"/>
      <c r="N83" s="429" t="n"/>
      <c r="O83" s="430" t="n"/>
      <c r="P83" s="429" t="n"/>
      <c r="Q83" s="430" t="n"/>
      <c r="R83" s="429" t="n"/>
      <c r="S83" s="430" t="n"/>
      <c r="T83" s="429" t="n"/>
      <c r="U83" s="430" t="n"/>
      <c r="V83" s="429" t="n"/>
      <c r="W83" s="430" t="n"/>
      <c r="X83" s="315" t="n"/>
      <c r="Y83" s="316">
        <f>D83+F83+H83+J83+L83+N83+P83+R83+T83+V83</f>
        <v/>
      </c>
      <c r="Z83" s="317">
        <f>E83+G83+I83+K83+M83+O83+Q83+S83+U83+W83</f>
        <v/>
      </c>
      <c r="AA83" s="318">
        <f>Y83+Z83*2</f>
        <v/>
      </c>
      <c r="AB83" s="316" t="n"/>
      <c r="AC83" s="317" t="n"/>
      <c r="AD83" s="316" t="n"/>
      <c r="AE83" s="317" t="n"/>
      <c r="AF83" s="316" t="n"/>
      <c r="AG83" s="431" t="n"/>
      <c r="AH83" s="318" t="n"/>
    </row>
    <row r="84" ht="15" customHeight="1" s="1">
      <c r="A84" s="311" t="inlineStr">
        <is>
          <t>ETD</t>
        </is>
      </c>
      <c r="B84" s="327" t="inlineStr">
        <is>
          <t>07/27</t>
        </is>
      </c>
      <c r="C84" s="312" t="inlineStr">
        <is>
          <t>Weight</t>
        </is>
      </c>
      <c r="D84" s="328" t="n"/>
      <c r="E84" s="272" t="n"/>
      <c r="F84" s="328" t="n"/>
      <c r="G84" s="272" t="n"/>
      <c r="H84" s="328" t="n"/>
      <c r="I84" s="272" t="n"/>
      <c r="J84" s="328" t="n"/>
      <c r="K84" s="272" t="n"/>
      <c r="L84" s="328" t="n"/>
      <c r="M84" s="272" t="n"/>
      <c r="N84" s="328" t="n"/>
      <c r="O84" s="272" t="n"/>
      <c r="P84" s="328" t="n"/>
      <c r="Q84" s="272" t="n"/>
      <c r="R84" s="328" t="n"/>
      <c r="S84" s="272" t="n"/>
      <c r="T84" s="328" t="n"/>
      <c r="U84" s="272" t="n"/>
      <c r="V84" s="328" t="n"/>
      <c r="W84" s="272" t="n"/>
      <c r="X84" s="173" t="n"/>
      <c r="Y84" s="432">
        <f>D84+F84+H84+J84+L84+N84+P84+R84+T84+V84</f>
        <v/>
      </c>
      <c r="Z84" s="433" t="n"/>
      <c r="AA84" s="432" t="n"/>
      <c r="AB84" s="330">
        <f>AB76+Y84-(T103)</f>
        <v/>
      </c>
      <c r="AC84" s="332">
        <f>AB84-(AB78-AC78)*2</f>
        <v/>
      </c>
      <c r="AD84" s="333">
        <f>IF(AD$2&gt;0,AB84/AD$2,0)</f>
        <v/>
      </c>
      <c r="AE84" s="334">
        <f>IF(AD$2&gt;0,AC84/AD$2,0)</f>
        <v/>
      </c>
      <c r="AF84" s="330" t="n"/>
      <c r="AG84" s="332">
        <f>AD$2-AB84</f>
        <v/>
      </c>
      <c r="AH84" s="432" t="n"/>
    </row>
    <row r="85" ht="15" customHeight="1" s="1">
      <c r="A85" s="434" t="n"/>
      <c r="B85" s="130" t="n"/>
      <c r="C85" s="337" t="inlineStr">
        <is>
          <t>TTL</t>
        </is>
      </c>
      <c r="D85" s="338">
        <f>D78+D79+D80+D81+D82+D83</f>
        <v/>
      </c>
      <c r="E85" s="339">
        <f>E78+E79+E80+E81+E82+E83</f>
        <v/>
      </c>
      <c r="F85" s="338">
        <f>F78+F79+F80+F81+F82+F83</f>
        <v/>
      </c>
      <c r="G85" s="339">
        <f>G78+G79+G80+G81+G82+G83</f>
        <v/>
      </c>
      <c r="H85" s="338">
        <f>H78+H79+H80+H81+H82+H83</f>
        <v/>
      </c>
      <c r="I85" s="339">
        <f>I78+I79+I80+I81+I82+I83</f>
        <v/>
      </c>
      <c r="J85" s="338">
        <f>J78+J79+J80+J81+J82+J83</f>
        <v/>
      </c>
      <c r="K85" s="339">
        <f>K78+K79+K80+K81+K82+K83</f>
        <v/>
      </c>
      <c r="L85" s="338">
        <f>L78+L79+L80+L81+L82+L83</f>
        <v/>
      </c>
      <c r="M85" s="339">
        <f>M78+M79+M80+M81+M82+M83</f>
        <v/>
      </c>
      <c r="N85" s="338">
        <f>N78+N79+N80+N81+N82+N83</f>
        <v/>
      </c>
      <c r="O85" s="339">
        <f>O78+O79+O80+O81+O82+O83</f>
        <v/>
      </c>
      <c r="P85" s="338">
        <f>P78+P79+P80+P81+P82+P83</f>
        <v/>
      </c>
      <c r="Q85" s="339">
        <f>Q78+Q79+Q80+Q81+Q82+Q83</f>
        <v/>
      </c>
      <c r="R85" s="338">
        <f>R78+R79+R80+R81+R82+R83</f>
        <v/>
      </c>
      <c r="S85" s="339">
        <f>S78+S79+S80+S81+S82+S83</f>
        <v/>
      </c>
      <c r="T85" s="338">
        <f>T78+T79+T80+T81+T82+T83</f>
        <v/>
      </c>
      <c r="U85" s="339">
        <f>U78+U79+U80+U81+U82+U83</f>
        <v/>
      </c>
      <c r="V85" s="338">
        <f>V78+V79+V80+V81+V82+V83</f>
        <v/>
      </c>
      <c r="W85" s="339">
        <f>W78+W79+W80+W81+W82+W83</f>
        <v/>
      </c>
      <c r="X85" s="173" t="n"/>
      <c r="Y85" s="340">
        <f>Y78+Y79+Y80+Y81+Y82+Y83</f>
        <v/>
      </c>
      <c r="Z85" s="341">
        <f>Z78+Z79+Z80+Z81+Z82+Z83</f>
        <v/>
      </c>
      <c r="AA85" s="176">
        <f>AA78+AA79+AA80+AA81+AA82+AA83</f>
        <v/>
      </c>
      <c r="AB85" s="340" t="n"/>
      <c r="AC85" s="341" t="n"/>
      <c r="AD85" s="340" t="n"/>
      <c r="AE85" s="341" t="n"/>
      <c r="AF85" s="340">
        <f>$AA$2-AB78</f>
        <v/>
      </c>
      <c r="AG85" s="332" t="n"/>
      <c r="AH85" s="176" t="n"/>
    </row>
    <row r="86" ht="15" customHeight="1" s="1">
      <c r="A86" s="428" t="inlineStr">
        <is>
          <t>AEKLF</t>
        </is>
      </c>
      <c r="B86" s="127" t="n"/>
      <c r="C86" s="312" t="inlineStr">
        <is>
          <t>LILIAN</t>
        </is>
      </c>
      <c r="D86" s="429" t="n"/>
      <c r="E86" s="430" t="n"/>
      <c r="F86" s="429" t="n"/>
      <c r="G86" s="430" t="n"/>
      <c r="H86" s="429" t="n"/>
      <c r="I86" s="430" t="n"/>
      <c r="J86" s="429" t="n"/>
      <c r="K86" s="430" t="n"/>
      <c r="L86" s="429" t="n"/>
      <c r="M86" s="430" t="n"/>
      <c r="N86" s="429" t="n"/>
      <c r="O86" s="430" t="n"/>
      <c r="P86" s="429" t="n"/>
      <c r="Q86" s="430" t="n"/>
      <c r="R86" s="429" t="n"/>
      <c r="S86" s="430" t="n"/>
      <c r="T86" s="429" t="n"/>
      <c r="U86" s="430" t="n"/>
      <c r="V86" s="429" t="n"/>
      <c r="W86" s="430" t="n"/>
      <c r="X86" s="315" t="n"/>
      <c r="Y86" s="316">
        <f>D86+F86+H86+J86+L86+N86+P86+R86+T86+V86</f>
        <v/>
      </c>
      <c r="Z86" s="317">
        <f>E86+G86+I86+K86+M86+O86+Q86+S86+U86+W86</f>
        <v/>
      </c>
      <c r="AA86" s="318">
        <f>Y86+Z86*2</f>
        <v/>
      </c>
      <c r="AB86" s="316">
        <f>AB78+AA86+AA87+AA88+AA89+AA90+AA91-(V102+W102)</f>
        <v/>
      </c>
      <c r="AC86" s="317">
        <f>AC78+AA86+AA87+AA88+AA89+AA90-(V102+W102-(V99+W99*2))</f>
        <v/>
      </c>
      <c r="AD86" s="319">
        <f>IF(AA$2&gt;0,AB86/AA$2,0)</f>
        <v/>
      </c>
      <c r="AE86" s="320">
        <f>IF(AA$2&gt;0,AC86/AA$2,0)</f>
        <v/>
      </c>
      <c r="AF86" s="316" t="n"/>
      <c r="AG86" s="431" t="n"/>
      <c r="AH86" s="318" t="n"/>
    </row>
    <row r="87" ht="15" customHeight="1" s="1">
      <c r="A87" s="277" t="n"/>
      <c r="B87" s="127" t="n"/>
      <c r="C87" s="312" t="inlineStr">
        <is>
          <t>SUL</t>
        </is>
      </c>
      <c r="D87" s="429" t="n"/>
      <c r="E87" s="430" t="n"/>
      <c r="F87" s="429" t="n"/>
      <c r="G87" s="430" t="n"/>
      <c r="H87" s="429" t="n"/>
      <c r="I87" s="430" t="n"/>
      <c r="J87" s="429" t="n"/>
      <c r="K87" s="430" t="n"/>
      <c r="L87" s="429" t="n"/>
      <c r="M87" s="430" t="n"/>
      <c r="N87" s="429" t="n"/>
      <c r="O87" s="430" t="n"/>
      <c r="P87" s="429" t="n"/>
      <c r="Q87" s="430" t="n"/>
      <c r="R87" s="429" t="n"/>
      <c r="S87" s="430" t="n"/>
      <c r="T87" s="429" t="n"/>
      <c r="U87" s="430" t="n"/>
      <c r="V87" s="429" t="n"/>
      <c r="W87" s="430" t="n"/>
      <c r="X87" s="315" t="n"/>
      <c r="Y87" s="316">
        <f>D87+F87+H87+J87+L87+N87+P87+R87+T87+V87</f>
        <v/>
      </c>
      <c r="Z87" s="317">
        <f>E87+G87+I87+K87+M87+O87+Q87+S87+U87+W87</f>
        <v/>
      </c>
      <c r="AA87" s="318">
        <f>Y87+Z87*2</f>
        <v/>
      </c>
      <c r="AB87" s="316" t="n"/>
      <c r="AC87" s="317" t="n"/>
      <c r="AD87" s="316" t="n"/>
      <c r="AE87" s="317" t="n"/>
      <c r="AF87" s="316" t="n"/>
      <c r="AG87" s="431" t="n"/>
      <c r="AH87" s="318" t="n"/>
    </row>
    <row r="88" ht="15" customHeight="1" s="1">
      <c r="A88" s="277" t="n"/>
      <c r="B88" s="127" t="n"/>
      <c r="C88" s="312" t="inlineStr">
        <is>
          <t>T/S</t>
        </is>
      </c>
      <c r="D88" s="429" t="n"/>
      <c r="E88" s="430" t="n"/>
      <c r="F88" s="429" t="n"/>
      <c r="G88" s="430" t="n"/>
      <c r="H88" s="429" t="n"/>
      <c r="I88" s="430" t="n"/>
      <c r="J88" s="429" t="n"/>
      <c r="K88" s="430" t="n"/>
      <c r="L88" s="429" t="n"/>
      <c r="M88" s="430" t="n"/>
      <c r="N88" s="429" t="n"/>
      <c r="O88" s="430" t="n"/>
      <c r="P88" s="429" t="n"/>
      <c r="Q88" s="430" t="n"/>
      <c r="R88" s="429" t="n"/>
      <c r="S88" s="430" t="n"/>
      <c r="T88" s="429" t="n"/>
      <c r="U88" s="430" t="n"/>
      <c r="V88" s="429" t="n"/>
      <c r="W88" s="430" t="n"/>
      <c r="X88" s="315" t="n"/>
      <c r="Y88" s="316">
        <f>D88+F88+H88+J88+L88+N88+P88+R88+T88+V88</f>
        <v/>
      </c>
      <c r="Z88" s="317">
        <f>E88+G88+I88+K88+M88+O88+Q88+S88+U88+W88</f>
        <v/>
      </c>
      <c r="AA88" s="318">
        <f>Y88+Z88*2</f>
        <v/>
      </c>
      <c r="AB88" s="316" t="n"/>
      <c r="AC88" s="317" t="n"/>
      <c r="AD88" s="316" t="n"/>
      <c r="AE88" s="317" t="n"/>
      <c r="AF88" s="316" t="n"/>
      <c r="AG88" s="431" t="n"/>
      <c r="AH88" s="318" t="n"/>
    </row>
    <row r="89" ht="15" customHeight="1" s="1">
      <c r="A89" s="277" t="n"/>
      <c r="B89" s="127" t="n"/>
      <c r="C89" s="312" t="inlineStr">
        <is>
          <t>SOC</t>
        </is>
      </c>
      <c r="D89" s="429" t="n"/>
      <c r="E89" s="430" t="n"/>
      <c r="F89" s="429" t="n"/>
      <c r="G89" s="430" t="n"/>
      <c r="H89" s="429" t="n"/>
      <c r="I89" s="430" t="n"/>
      <c r="J89" s="429" t="n"/>
      <c r="K89" s="430" t="n"/>
      <c r="L89" s="429" t="n"/>
      <c r="M89" s="430" t="n"/>
      <c r="N89" s="429" t="n"/>
      <c r="O89" s="430" t="n"/>
      <c r="P89" s="429" t="n"/>
      <c r="Q89" s="430" t="n"/>
      <c r="R89" s="429" t="n"/>
      <c r="S89" s="430" t="n"/>
      <c r="T89" s="429" t="n"/>
      <c r="U89" s="430" t="n"/>
      <c r="V89" s="429" t="n"/>
      <c r="W89" s="430" t="n"/>
      <c r="X89" s="315" t="n"/>
      <c r="Y89" s="316">
        <f>D89+F89+H89+J89+L89+N89+P89+R89+T89+V89</f>
        <v/>
      </c>
      <c r="Z89" s="317">
        <f>E89+G89+I89+K89+M89+O89+Q89+S89+U89+W89</f>
        <v/>
      </c>
      <c r="AA89" s="318">
        <f>Y89+Z89*2</f>
        <v/>
      </c>
      <c r="AB89" s="316" t="n"/>
      <c r="AC89" s="317" t="n"/>
      <c r="AD89" s="316" t="n"/>
      <c r="AE89" s="317" t="n"/>
      <c r="AF89" s="316" t="n"/>
      <c r="AG89" s="431" t="n"/>
      <c r="AH89" s="318" t="n"/>
    </row>
    <row r="90" ht="15" customHeight="1" s="1">
      <c r="A90" s="277" t="n"/>
      <c r="B90" s="127" t="n"/>
      <c r="C90" s="312" t="inlineStr">
        <is>
          <t>RF</t>
        </is>
      </c>
      <c r="D90" s="429" t="n"/>
      <c r="E90" s="430" t="n"/>
      <c r="F90" s="429" t="n"/>
      <c r="G90" s="430" t="n"/>
      <c r="H90" s="429" t="n"/>
      <c r="I90" s="430" t="n"/>
      <c r="J90" s="429" t="n"/>
      <c r="K90" s="430" t="n"/>
      <c r="L90" s="429" t="n"/>
      <c r="M90" s="430" t="n"/>
      <c r="N90" s="429" t="n"/>
      <c r="O90" s="430" t="n"/>
      <c r="P90" s="429" t="n"/>
      <c r="Q90" s="430" t="n"/>
      <c r="R90" s="429" t="n"/>
      <c r="S90" s="430" t="n"/>
      <c r="T90" s="429" t="n"/>
      <c r="U90" s="430" t="n"/>
      <c r="V90" s="429" t="n"/>
      <c r="W90" s="430" t="n"/>
      <c r="X90" s="315" t="n"/>
      <c r="Y90" s="316">
        <f>D90+F90+H90+J90+L90+N90+P90+R90+T90+V90</f>
        <v/>
      </c>
      <c r="Z90" s="317">
        <f>E90+G90+I90+K90+M90+O90+Q90+S90+U90+W90</f>
        <v/>
      </c>
      <c r="AA90" s="318">
        <f>Y90+Z90*2</f>
        <v/>
      </c>
      <c r="AB90" s="316" t="n"/>
      <c r="AC90" s="317" t="n"/>
      <c r="AD90" s="316" t="n"/>
      <c r="AE90" s="317" t="n"/>
      <c r="AF90" s="316" t="n"/>
      <c r="AG90" s="431" t="n"/>
      <c r="AH90" s="318">
        <f>AH82-Y90-Z90+V98+W98</f>
        <v/>
      </c>
    </row>
    <row r="91" ht="15" customHeight="1" s="1">
      <c r="A91" s="311" t="inlineStr">
        <is>
          <t>ETB</t>
        </is>
      </c>
      <c r="B91" s="327" t="inlineStr">
        <is>
          <t>07/22</t>
        </is>
      </c>
      <c r="C91" s="312" t="inlineStr">
        <is>
          <t>MT</t>
        </is>
      </c>
      <c r="D91" s="429" t="n"/>
      <c r="E91" s="430" t="n"/>
      <c r="F91" s="429" t="n"/>
      <c r="G91" s="430" t="n"/>
      <c r="H91" s="429" t="n"/>
      <c r="I91" s="430" t="n"/>
      <c r="J91" s="429" t="n"/>
      <c r="K91" s="430" t="n"/>
      <c r="L91" s="429" t="n"/>
      <c r="M91" s="430" t="n"/>
      <c r="N91" s="429" t="n"/>
      <c r="O91" s="430" t="n"/>
      <c r="P91" s="429" t="n"/>
      <c r="Q91" s="430" t="n"/>
      <c r="R91" s="429" t="n"/>
      <c r="S91" s="430" t="n"/>
      <c r="T91" s="429" t="n"/>
      <c r="U91" s="430" t="n"/>
      <c r="V91" s="429" t="n"/>
      <c r="W91" s="430" t="n"/>
      <c r="X91" s="315" t="n"/>
      <c r="Y91" s="316">
        <f>D91+F91+H91+J91+L91+N91+P91+R91+T91+V91</f>
        <v/>
      </c>
      <c r="Z91" s="317">
        <f>E91+G91+I91+K91+M91+O91+Q91+S91+U91+W91</f>
        <v/>
      </c>
      <c r="AA91" s="318">
        <f>Y91+Z91*2</f>
        <v/>
      </c>
      <c r="AB91" s="316" t="n"/>
      <c r="AC91" s="317" t="n"/>
      <c r="AD91" s="316" t="n"/>
      <c r="AE91" s="317" t="n"/>
      <c r="AF91" s="316" t="n"/>
      <c r="AG91" s="431" t="n"/>
      <c r="AH91" s="318" t="n"/>
    </row>
    <row r="92" ht="15" customHeight="1" s="1">
      <c r="A92" s="311" t="inlineStr">
        <is>
          <t>ETD</t>
        </is>
      </c>
      <c r="B92" s="327" t="inlineStr">
        <is>
          <t>07/24</t>
        </is>
      </c>
      <c r="C92" s="312" t="inlineStr">
        <is>
          <t>Weight</t>
        </is>
      </c>
      <c r="D92" s="328" t="n"/>
      <c r="E92" s="272" t="n"/>
      <c r="F92" s="328" t="n"/>
      <c r="G92" s="272" t="n"/>
      <c r="H92" s="328" t="n"/>
      <c r="I92" s="272" t="n"/>
      <c r="J92" s="328" t="n"/>
      <c r="K92" s="272" t="n"/>
      <c r="L92" s="328" t="n"/>
      <c r="M92" s="272" t="n"/>
      <c r="N92" s="328" t="n"/>
      <c r="O92" s="272" t="n"/>
      <c r="P92" s="328" t="n"/>
      <c r="Q92" s="272" t="n"/>
      <c r="R92" s="328" t="n"/>
      <c r="S92" s="272" t="n"/>
      <c r="T92" s="328" t="n"/>
      <c r="U92" s="272" t="n"/>
      <c r="V92" s="328" t="n"/>
      <c r="W92" s="272" t="n"/>
      <c r="X92" s="173" t="n"/>
      <c r="Y92" s="432">
        <f>D92+F92+H92+J92+L92+N92+P92+R92+T92+V92</f>
        <v/>
      </c>
      <c r="Z92" s="433" t="n"/>
      <c r="AA92" s="432" t="n"/>
      <c r="AB92" s="330">
        <f>AB84+Y92-(V103)</f>
        <v/>
      </c>
      <c r="AC92" s="332">
        <f>AB92-(AB86-AC86)*2</f>
        <v/>
      </c>
      <c r="AD92" s="333">
        <f>IF(AD$2&gt;0,AB92/AD$2,0)</f>
        <v/>
      </c>
      <c r="AE92" s="334">
        <f>IF(AD$2&gt;0,AC92/AD$2,0)</f>
        <v/>
      </c>
      <c r="AF92" s="330" t="n"/>
      <c r="AG92" s="332">
        <f>AD$2-AB92</f>
        <v/>
      </c>
      <c r="AH92" s="432" t="n"/>
    </row>
    <row r="93" ht="15" customHeight="1" s="1">
      <c r="A93" s="434" t="n"/>
      <c r="B93" s="130" t="n"/>
      <c r="C93" s="337" t="inlineStr">
        <is>
          <t>TTL</t>
        </is>
      </c>
      <c r="D93" s="338">
        <f>D86+D87+D88+D89+D90+D91</f>
        <v/>
      </c>
      <c r="E93" s="339">
        <f>E86+E87+E88+E89+E90+E91</f>
        <v/>
      </c>
      <c r="F93" s="338">
        <f>F86+F87+F88+F89+F90+F91</f>
        <v/>
      </c>
      <c r="G93" s="339">
        <f>G86+G87+G88+G89+G90+G91</f>
        <v/>
      </c>
      <c r="H93" s="338">
        <f>H86+H87+H88+H89+H90+H91</f>
        <v/>
      </c>
      <c r="I93" s="339">
        <f>I86+I87+I88+I89+I90+I91</f>
        <v/>
      </c>
      <c r="J93" s="338">
        <f>J86+J87+J88+J89+J90+J91</f>
        <v/>
      </c>
      <c r="K93" s="339">
        <f>K86+K87+K88+K89+K90+K91</f>
        <v/>
      </c>
      <c r="L93" s="338">
        <f>L86+L87+L88+L89+L90+L91</f>
        <v/>
      </c>
      <c r="M93" s="339">
        <f>M86+M87+M88+M89+M90+M91</f>
        <v/>
      </c>
      <c r="N93" s="338">
        <f>N86+N87+N88+N89+N90+N91</f>
        <v/>
      </c>
      <c r="O93" s="339">
        <f>O86+O87+O88+O89+O90+O91</f>
        <v/>
      </c>
      <c r="P93" s="338">
        <f>P86+P87+P88+P89+P90+P91</f>
        <v/>
      </c>
      <c r="Q93" s="339">
        <f>Q86+Q87+Q88+Q89+Q90+Q91</f>
        <v/>
      </c>
      <c r="R93" s="338">
        <f>R86+R87+R88+R89+R90+R91</f>
        <v/>
      </c>
      <c r="S93" s="339">
        <f>S86+S87+S88+S89+S90+S91</f>
        <v/>
      </c>
      <c r="T93" s="338">
        <f>T86+T87+T88+T89+T90+T91</f>
        <v/>
      </c>
      <c r="U93" s="339">
        <f>U86+U87+U88+U89+U90+U91</f>
        <v/>
      </c>
      <c r="V93" s="338">
        <f>V86+V87+V88+V89+V90+V91</f>
        <v/>
      </c>
      <c r="W93" s="339">
        <f>W86+W87+W88+W89+W90+W91</f>
        <v/>
      </c>
      <c r="X93" s="173" t="n"/>
      <c r="Y93" s="340">
        <f>Y86+Y87+Y88+Y89+Y90+Y91</f>
        <v/>
      </c>
      <c r="Z93" s="341">
        <f>Z86+Z87+Z88+Z89+Z90+Z91</f>
        <v/>
      </c>
      <c r="AA93" s="176">
        <f>AA86+AA87+AA88+AA89+AA90+AA91</f>
        <v/>
      </c>
      <c r="AB93" s="340" t="n"/>
      <c r="AC93" s="341" t="n"/>
      <c r="AD93" s="340" t="n"/>
      <c r="AE93" s="341" t="n"/>
      <c r="AF93" s="340">
        <f>$AA$2-AB86</f>
        <v/>
      </c>
      <c r="AG93" s="332" t="n"/>
      <c r="AH93" s="176" t="n"/>
    </row>
    <row r="94" ht="15" customHeight="1" s="1">
      <c r="A94" s="435" t="inlineStr">
        <is>
          <t>TOTAL</t>
        </is>
      </c>
      <c r="B94" s="127" t="n"/>
      <c r="C94" s="347" t="inlineStr">
        <is>
          <t>LILIAN</t>
        </is>
      </c>
      <c r="D94" s="348">
        <f>D6+D14+D22+D30+D38+D46+D54+D62+D70+D78+D86</f>
        <v/>
      </c>
      <c r="E94" s="349">
        <f>E6+E14+E22+E30+E38+E46+E54+E62+E70+E78+E86</f>
        <v/>
      </c>
      <c r="F94" s="348">
        <f>F6+F14+F22+F30+F38+F46+F54+F62+F70+F78+F86</f>
        <v/>
      </c>
      <c r="G94" s="349">
        <f>G6+G14+G22+G30+G38+G46+G54+G62+G70+G78+G86</f>
        <v/>
      </c>
      <c r="H94" s="348">
        <f>H6+H14+H22+H30+H38+H46+H54+H62+H70+H78+H86</f>
        <v/>
      </c>
      <c r="I94" s="349">
        <f>I6+I14+I22+I30+I38+I46+I54+I62+I70+I78+I86</f>
        <v/>
      </c>
      <c r="J94" s="348">
        <f>J6+J14+J22+J30+J38+J46+J54+J62+J70+J78+J86</f>
        <v/>
      </c>
      <c r="K94" s="349">
        <f>K6+K14+K22+K30+K38+K46+K54+K62+K70+K78+K86</f>
        <v/>
      </c>
      <c r="L94" s="348">
        <f>L6+L14+L22+L30+L38+L46+L54+L62+L70+L78+L86</f>
        <v/>
      </c>
      <c r="M94" s="349">
        <f>M6+M14+M22+M30+M38+M46+M54+M62+M70+M78+M86</f>
        <v/>
      </c>
      <c r="N94" s="348">
        <f>N6+N14+N22+N30+N38+N46+N54+N62+N70+N78+N86</f>
        <v/>
      </c>
      <c r="O94" s="349">
        <f>O6+O14+O22+O30+O38+O46+O54+O62+O70+O78+O86</f>
        <v/>
      </c>
      <c r="P94" s="348">
        <f>P6+P14+P22+P30+P38+P46+P54+P62+P70+P78+P86</f>
        <v/>
      </c>
      <c r="Q94" s="349">
        <f>Q6+Q14+Q22+Q30+Q38+Q46+Q54+Q62+Q70+Q78+Q86</f>
        <v/>
      </c>
      <c r="R94" s="348">
        <f>R6+R14+R22+R30+R38+R46+R54+R62+R70+R78+R86</f>
        <v/>
      </c>
      <c r="S94" s="349">
        <f>S6+S14+S22+S30+S38+S46+S54+S62+S70+S78+S86</f>
        <v/>
      </c>
      <c r="T94" s="348">
        <f>T6+T14+T22+T30+T38+T46+T54+T62+T70+T78+T86</f>
        <v/>
      </c>
      <c r="U94" s="349">
        <f>U6+U14+U22+U30+U38+U46+U54+U62+U70+U78+U86</f>
        <v/>
      </c>
      <c r="V94" s="348">
        <f>V6+V14+V22+V30+V38+V46+V54+V62+V70+V78+V86</f>
        <v/>
      </c>
      <c r="W94" s="349">
        <f>W6+W14+W22+W30+W38+W46+W54+W62+W70+W78+W86</f>
        <v/>
      </c>
      <c r="X94" s="350" t="n"/>
      <c r="Y94" s="351">
        <f>D94+F94+H94+J94+L94+N94+P94+R94+T94+V94</f>
        <v/>
      </c>
      <c r="Z94" s="352">
        <f>E94+G94+I94+K94+M94+O94+Q94+S94+U94+W94</f>
        <v/>
      </c>
      <c r="AA94" s="353">
        <f>Y94+Z94*2</f>
        <v/>
      </c>
      <c r="AB94" s="351" t="n"/>
      <c r="AC94" s="352" t="n"/>
      <c r="AD94" s="351" t="n"/>
      <c r="AE94" s="352" t="n"/>
      <c r="AF94" s="351" t="n"/>
      <c r="AG94" s="436" t="n"/>
      <c r="AH94" s="353" t="n"/>
    </row>
    <row r="95" ht="15" customHeight="1" s="1">
      <c r="A95" s="277" t="n"/>
      <c r="B95" s="127" t="n"/>
      <c r="C95" s="347" t="inlineStr">
        <is>
          <t>SUL</t>
        </is>
      </c>
      <c r="D95" s="348">
        <f>D7+D15+D23+D31+D39+D47+D55+D63+D71+D79+D87</f>
        <v/>
      </c>
      <c r="E95" s="349">
        <f>E7+E15+E23+E31+E39+E47+E55+E63+E71+E79+E87</f>
        <v/>
      </c>
      <c r="F95" s="348">
        <f>F7+F15+F23+F31+F39+F47+F55+F63+F71+F79+F87</f>
        <v/>
      </c>
      <c r="G95" s="349">
        <f>G7+G15+G23+G31+G39+G47+G55+G63+G71+G79+G87</f>
        <v/>
      </c>
      <c r="H95" s="348">
        <f>H7+H15+H23+H31+H39+H47+H55+H63+H71+H79+H87</f>
        <v/>
      </c>
      <c r="I95" s="349">
        <f>I7+I15+I23+I31+I39+I47+I55+I63+I71+I79+I87</f>
        <v/>
      </c>
      <c r="J95" s="348">
        <f>J7+J15+J23+J31+J39+J47+J55+J63+J71+J79+J87</f>
        <v/>
      </c>
      <c r="K95" s="349">
        <f>K7+K15+K23+K31+K39+K47+K55+K63+K71+K79+K87</f>
        <v/>
      </c>
      <c r="L95" s="348">
        <f>L7+L15+L23+L31+L39+L47+L55+L63+L71+L79+L87</f>
        <v/>
      </c>
      <c r="M95" s="349">
        <f>M7+M15+M23+M31+M39+M47+M55+M63+M71+M79+M87</f>
        <v/>
      </c>
      <c r="N95" s="348">
        <f>N7+N15+N23+N31+N39+N47+N55+N63+N71+N79+N87</f>
        <v/>
      </c>
      <c r="O95" s="349">
        <f>O7+O15+O23+O31+O39+O47+O55+O63+O71+O79+O87</f>
        <v/>
      </c>
      <c r="P95" s="348">
        <f>P7+P15+P23+P31+P39+P47+P55+P63+P71+P79+P87</f>
        <v/>
      </c>
      <c r="Q95" s="349">
        <f>Q7+Q15+Q23+Q31+Q39+Q47+Q55+Q63+Q71+Q79+Q87</f>
        <v/>
      </c>
      <c r="R95" s="348">
        <f>R7+R15+R23+R31+R39+R47+R55+R63+R71+R79+R87</f>
        <v/>
      </c>
      <c r="S95" s="349">
        <f>S7+S15+S23+S31+S39+S47+S55+S63+S71+S79+S87</f>
        <v/>
      </c>
      <c r="T95" s="348">
        <f>T7+T15+T23+T31+T39+T47+T55+T63+T71+T79+T87</f>
        <v/>
      </c>
      <c r="U95" s="349">
        <f>U7+U15+U23+U31+U39+U47+U55+U63+U71+U79+U87</f>
        <v/>
      </c>
      <c r="V95" s="348">
        <f>V7+V15+V23+V31+V39+V47+V55+V63+V71+V79+V87</f>
        <v/>
      </c>
      <c r="W95" s="349">
        <f>W7+W15+W23+W31+W39+W47+W55+W63+W71+W79+W87</f>
        <v/>
      </c>
      <c r="X95" s="350" t="n"/>
      <c r="Y95" s="351">
        <f>D95+F95+H95+J95+L95+N95+P95+R95+T95+V95</f>
        <v/>
      </c>
      <c r="Z95" s="352">
        <f>E95+G95+I95+K95+M95+O95+Q95+S95+U95+W95</f>
        <v/>
      </c>
      <c r="AA95" s="353">
        <f>Y95+Z95*2</f>
        <v/>
      </c>
      <c r="AB95" s="351" t="n"/>
      <c r="AC95" s="352" t="n"/>
      <c r="AD95" s="351" t="n"/>
      <c r="AE95" s="352" t="n"/>
      <c r="AF95" s="351" t="n"/>
      <c r="AG95" s="436" t="n"/>
      <c r="AH95" s="353" t="n"/>
    </row>
    <row r="96" ht="15" customHeight="1" s="1">
      <c r="A96" s="277" t="n"/>
      <c r="B96" s="127" t="n"/>
      <c r="C96" s="347" t="inlineStr">
        <is>
          <t>T/S</t>
        </is>
      </c>
      <c r="D96" s="348">
        <f>D8+D16+D24+D32+D40+D48+D56+D64+D72+D80+D88</f>
        <v/>
      </c>
      <c r="E96" s="349">
        <f>E8+E16+E24+E32+E40+E48+E56+E64+E72+E80+E88</f>
        <v/>
      </c>
      <c r="F96" s="348">
        <f>F8+F16+F24+F32+F40+F48+F56+F64+F72+F80+F88</f>
        <v/>
      </c>
      <c r="G96" s="349">
        <f>G8+G16+G24+G32+G40+G48+G56+G64+G72+G80+G88</f>
        <v/>
      </c>
      <c r="H96" s="348">
        <f>H8+H16+H24+H32+H40+H48+H56+H64+H72+H80+H88</f>
        <v/>
      </c>
      <c r="I96" s="349">
        <f>I8+I16+I24+I32+I40+I48+I56+I64+I72+I80+I88</f>
        <v/>
      </c>
      <c r="J96" s="348">
        <f>J8+J16+J24+J32+J40+J48+J56+J64+J72+J80+J88</f>
        <v/>
      </c>
      <c r="K96" s="349">
        <f>K8+K16+K24+K32+K40+K48+K56+K64+K72+K80+K88</f>
        <v/>
      </c>
      <c r="L96" s="348">
        <f>L8+L16+L24+L32+L40+L48+L56+L64+L72+L80+L88</f>
        <v/>
      </c>
      <c r="M96" s="349">
        <f>M8+M16+M24+M32+M40+M48+M56+M64+M72+M80+M88</f>
        <v/>
      </c>
      <c r="N96" s="348">
        <f>N8+N16+N24+N32+N40+N48+N56+N64+N72+N80+N88</f>
        <v/>
      </c>
      <c r="O96" s="349">
        <f>O8+O16+O24+O32+O40+O48+O56+O64+O72+O80+O88</f>
        <v/>
      </c>
      <c r="P96" s="348">
        <f>P8+P16+P24+P32+P40+P48+P56+P64+P72+P80+P88</f>
        <v/>
      </c>
      <c r="Q96" s="349">
        <f>Q8+Q16+Q24+Q32+Q40+Q48+Q56+Q64+Q72+Q80+Q88</f>
        <v/>
      </c>
      <c r="R96" s="348">
        <f>R8+R16+R24+R32+R40+R48+R56+R64+R72+R80+R88</f>
        <v/>
      </c>
      <c r="S96" s="349">
        <f>S8+S16+S24+S32+S40+S48+S56+S64+S72+S80+S88</f>
        <v/>
      </c>
      <c r="T96" s="348">
        <f>T8+T16+T24+T32+T40+T48+T56+T64+T72+T80+T88</f>
        <v/>
      </c>
      <c r="U96" s="349">
        <f>U8+U16+U24+U32+U40+U48+U56+U64+U72+U80+U88</f>
        <v/>
      </c>
      <c r="V96" s="348">
        <f>V8+V16+V24+V32+V40+V48+V56+V64+V72+V80+V88</f>
        <v/>
      </c>
      <c r="W96" s="349">
        <f>W8+W16+W24+W32+W40+W48+W56+W64+W72+W80+W88</f>
        <v/>
      </c>
      <c r="X96" s="350" t="n"/>
      <c r="Y96" s="351">
        <f>D96+F96+H96+J96+L96+N96+P96+R96+T96+V96</f>
        <v/>
      </c>
      <c r="Z96" s="352">
        <f>E96+G96+I96+K96+M96+O96+Q96+S96+U96+W96</f>
        <v/>
      </c>
      <c r="AA96" s="353">
        <f>Y96+Z96*2</f>
        <v/>
      </c>
      <c r="AB96" s="351" t="n"/>
      <c r="AC96" s="352" t="n"/>
      <c r="AD96" s="351" t="n"/>
      <c r="AE96" s="352" t="n"/>
      <c r="AF96" s="351" t="n"/>
      <c r="AG96" s="436" t="n"/>
      <c r="AH96" s="353" t="n"/>
    </row>
    <row r="97" ht="15" customHeight="1" s="1">
      <c r="A97" s="277" t="n"/>
      <c r="B97" s="127" t="n"/>
      <c r="C97" s="347" t="inlineStr">
        <is>
          <t>SOC</t>
        </is>
      </c>
      <c r="D97" s="348">
        <f>D9+D17+D25+D33+D41+D49+D57+D65+D73+D81+D89</f>
        <v/>
      </c>
      <c r="E97" s="349">
        <f>E9+E17+E25+E33+E41+E49+E57+E65+E73+E81+E89</f>
        <v/>
      </c>
      <c r="F97" s="348">
        <f>F9+F17+F25+F33+F41+F49+F57+F65+F73+F81+F89</f>
        <v/>
      </c>
      <c r="G97" s="349">
        <f>G9+G17+G25+G33+G41+G49+G57+G65+G73+G81+G89</f>
        <v/>
      </c>
      <c r="H97" s="348">
        <f>H9+H17+H25+H33+H41+H49+H57+H65+H73+H81+H89</f>
        <v/>
      </c>
      <c r="I97" s="349">
        <f>I9+I17+I25+I33+I41+I49+I57+I65+I73+I81+I89</f>
        <v/>
      </c>
      <c r="J97" s="348">
        <f>J9+J17+J25+J33+J41+J49+J57+J65+J73+J81+J89</f>
        <v/>
      </c>
      <c r="K97" s="349">
        <f>K9+K17+K25+K33+K41+K49+K57+K65+K73+K81+K89</f>
        <v/>
      </c>
      <c r="L97" s="348">
        <f>L9+L17+L25+L33+L41+L49+L57+L65+L73+L81+L89</f>
        <v/>
      </c>
      <c r="M97" s="349">
        <f>M9+M17+M25+M33+M41+M49+M57+M65+M73+M81+M89</f>
        <v/>
      </c>
      <c r="N97" s="348">
        <f>N9+N17+N25+N33+N41+N49+N57+N65+N73+N81+N89</f>
        <v/>
      </c>
      <c r="O97" s="349">
        <f>O9+O17+O25+O33+O41+O49+O57+O65+O73+O81+O89</f>
        <v/>
      </c>
      <c r="P97" s="348">
        <f>P9+P17+P25+P33+P41+P49+P57+P65+P73+P81+P89</f>
        <v/>
      </c>
      <c r="Q97" s="349">
        <f>Q9+Q17+Q25+Q33+Q41+Q49+Q57+Q65+Q73+Q81+Q89</f>
        <v/>
      </c>
      <c r="R97" s="348">
        <f>R9+R17+R25+R33+R41+R49+R57+R65+R73+R81+R89</f>
        <v/>
      </c>
      <c r="S97" s="349">
        <f>S9+S17+S25+S33+S41+S49+S57+S65+S73+S81+S89</f>
        <v/>
      </c>
      <c r="T97" s="348">
        <f>T9+T17+T25+T33+T41+T49+T57+T65+T73+T81+T89</f>
        <v/>
      </c>
      <c r="U97" s="349">
        <f>U9+U17+U25+U33+U41+U49+U57+U65+U73+U81+U89</f>
        <v/>
      </c>
      <c r="V97" s="348">
        <f>V9+V17+V25+V33+V41+V49+V57+V65+V73+V81+V89</f>
        <v/>
      </c>
      <c r="W97" s="349">
        <f>W9+W17+W25+W33+W41+W49+W57+W65+W73+W81+W89</f>
        <v/>
      </c>
      <c r="X97" s="350" t="n"/>
      <c r="Y97" s="351">
        <f>D97+F97+H97+J97+L97+N97+P97+R97+T97+V97</f>
        <v/>
      </c>
      <c r="Z97" s="352">
        <f>E97+G97+I97+K97+M97+O97+Q97+S97+U97+W97</f>
        <v/>
      </c>
      <c r="AA97" s="353">
        <f>Y97+Z97*2</f>
        <v/>
      </c>
      <c r="AB97" s="351" t="n"/>
      <c r="AC97" s="352" t="n"/>
      <c r="AD97" s="351" t="n"/>
      <c r="AE97" s="352" t="n"/>
      <c r="AF97" s="351" t="n"/>
      <c r="AG97" s="436" t="n"/>
      <c r="AH97" s="353" t="n"/>
    </row>
    <row r="98" ht="15" customHeight="1" s="1">
      <c r="A98" s="277" t="n"/>
      <c r="B98" s="127" t="n"/>
      <c r="C98" s="347" t="inlineStr">
        <is>
          <t>RF</t>
        </is>
      </c>
      <c r="D98" s="348">
        <f>D10+D18+D26+D34+D42+D50+D58+D66+D74+D82+D90</f>
        <v/>
      </c>
      <c r="E98" s="349">
        <f>E10+E18+E26+E34+E42+E50+E58+E66+E74+E82+E90</f>
        <v/>
      </c>
      <c r="F98" s="348">
        <f>F10+F18+F26+F34+F42+F50+F58+F66+F74+F82+F90</f>
        <v/>
      </c>
      <c r="G98" s="349">
        <f>G10+G18+G26+G34+G42+G50+G58+G66+G74+G82+G90</f>
        <v/>
      </c>
      <c r="H98" s="348">
        <f>H10+H18+H26+H34+H42+H50+H58+H66+H74+H82+H90</f>
        <v/>
      </c>
      <c r="I98" s="349">
        <f>I10+I18+I26+I34+I42+I50+I58+I66+I74+I82+I90</f>
        <v/>
      </c>
      <c r="J98" s="348">
        <f>J10+J18+J26+J34+J42+J50+J58+J66+J74+J82+J90</f>
        <v/>
      </c>
      <c r="K98" s="349">
        <f>K10+K18+K26+K34+K42+K50+K58+K66+K74+K82+K90</f>
        <v/>
      </c>
      <c r="L98" s="348">
        <f>L10+L18+L26+L34+L42+L50+L58+L66+L74+L82+L90</f>
        <v/>
      </c>
      <c r="M98" s="349">
        <f>M10+M18+M26+M34+M42+M50+M58+M66+M74+M82+M90</f>
        <v/>
      </c>
      <c r="N98" s="348">
        <f>N10+N18+N26+N34+N42+N50+N58+N66+N74+N82+N90</f>
        <v/>
      </c>
      <c r="O98" s="349">
        <f>O10+O18+O26+O34+O42+O50+O58+O66+O74+O82+O90</f>
        <v/>
      </c>
      <c r="P98" s="348">
        <f>P10+P18+P26+P34+P42+P50+P58+P66+P74+P82+P90</f>
        <v/>
      </c>
      <c r="Q98" s="349">
        <f>Q10+Q18+Q26+Q34+Q42+Q50+Q58+Q66+Q74+Q82+Q90</f>
        <v/>
      </c>
      <c r="R98" s="348">
        <f>R10+R18+R26+R34+R42+R50+R58+R66+R74+R82+R90</f>
        <v/>
      </c>
      <c r="S98" s="349">
        <f>S10+S18+S26+S34+S42+S50+S58+S66+S74+S82+S90</f>
        <v/>
      </c>
      <c r="T98" s="348">
        <f>T10+T18+T26+T34+T42+T50+T58+T66+T74+T82+T90</f>
        <v/>
      </c>
      <c r="U98" s="349">
        <f>U10+U18+U26+U34+U42+U50+U58+U66+U74+U82+U90</f>
        <v/>
      </c>
      <c r="V98" s="348">
        <f>V10+V18+V26+V34+V42+V50+V58+V66+V74+V82+V90</f>
        <v/>
      </c>
      <c r="W98" s="349">
        <f>W10+W18+W26+W34+W42+W50+W58+W66+W74+W82+W90</f>
        <v/>
      </c>
      <c r="X98" s="350" t="n"/>
      <c r="Y98" s="351">
        <f>D98+F98+H98+J98+L98+N98+P98+R98+T98+V98</f>
        <v/>
      </c>
      <c r="Z98" s="352">
        <f>E98+G98+I98+K98+M98+O98+Q98+S98+U98+W98</f>
        <v/>
      </c>
      <c r="AA98" s="353">
        <f>Y98+Z98*2</f>
        <v/>
      </c>
      <c r="AB98" s="351" t="n"/>
      <c r="AC98" s="352" t="n"/>
      <c r="AD98" s="351" t="n"/>
      <c r="AE98" s="352" t="n"/>
      <c r="AF98" s="351" t="n"/>
      <c r="AG98" s="436" t="n"/>
      <c r="AH98" s="353" t="n"/>
    </row>
    <row r="99" ht="15" customHeight="1" s="1">
      <c r="A99" s="346" t="str"/>
      <c r="B99" s="359" t="n"/>
      <c r="C99" s="347" t="inlineStr">
        <is>
          <t>MT</t>
        </is>
      </c>
      <c r="D99" s="348">
        <f>D11+D19+D27+D35+D43+D51+D59+D67+D75+D83+D91</f>
        <v/>
      </c>
      <c r="E99" s="349">
        <f>E11+E19+E27+E35+E43+E51+E59+E67+E75+E83+E91</f>
        <v/>
      </c>
      <c r="F99" s="348">
        <f>F11+F19+F27+F35+F43+F51+F59+F67+F75+F83+F91</f>
        <v/>
      </c>
      <c r="G99" s="349">
        <f>G11+G19+G27+G35+G43+G51+G59+G67+G75+G83+G91</f>
        <v/>
      </c>
      <c r="H99" s="348">
        <f>H11+H19+H27+H35+H43+H51+H59+H67+H75+H83+H91</f>
        <v/>
      </c>
      <c r="I99" s="349">
        <f>I11+I19+I27+I35+I43+I51+I59+I67+I75+I83+I91</f>
        <v/>
      </c>
      <c r="J99" s="348">
        <f>J11+J19+J27+J35+J43+J51+J59+J67+J75+J83+J91</f>
        <v/>
      </c>
      <c r="K99" s="349">
        <f>K11+K19+K27+K35+K43+K51+K59+K67+K75+K83+K91</f>
        <v/>
      </c>
      <c r="L99" s="348">
        <f>L11+L19+L27+L35+L43+L51+L59+L67+L75+L83+L91</f>
        <v/>
      </c>
      <c r="M99" s="349">
        <f>M11+M19+M27+M35+M43+M51+M59+M67+M75+M83+M91</f>
        <v/>
      </c>
      <c r="N99" s="348">
        <f>N11+N19+N27+N35+N43+N51+N59+N67+N75+N83+N91</f>
        <v/>
      </c>
      <c r="O99" s="349">
        <f>O11+O19+O27+O35+O43+O51+O59+O67+O75+O83+O91</f>
        <v/>
      </c>
      <c r="P99" s="348">
        <f>P11+P19+P27+P35+P43+P51+P59+P67+P75+P83+P91</f>
        <v/>
      </c>
      <c r="Q99" s="349">
        <f>Q11+Q19+Q27+Q35+Q43+Q51+Q59+Q67+Q75+Q83+Q91</f>
        <v/>
      </c>
      <c r="R99" s="348">
        <f>R11+R19+R27+R35+R43+R51+R59+R67+R75+R83+R91</f>
        <v/>
      </c>
      <c r="S99" s="349">
        <f>S11+S19+S27+S35+S43+S51+S59+S67+S75+S83+S91</f>
        <v/>
      </c>
      <c r="T99" s="348">
        <f>T11+T19+T27+T35+T43+T51+T59+T67+T75+T83+T91</f>
        <v/>
      </c>
      <c r="U99" s="349">
        <f>U11+U19+U27+U35+U43+U51+U59+U67+U75+U83+U91</f>
        <v/>
      </c>
      <c r="V99" s="348">
        <f>V11+V19+V27+V35+V43+V51+V59+V67+V75+V83+V91</f>
        <v/>
      </c>
      <c r="W99" s="349">
        <f>W11+W19+W27+W35+W43+W51+W59+W67+W75+W83+W91</f>
        <v/>
      </c>
      <c r="X99" s="350" t="n"/>
      <c r="Y99" s="351">
        <f>D99+F99+H99+J99+L99+N99+P99+R99+T99+V99</f>
        <v/>
      </c>
      <c r="Z99" s="352">
        <f>E99+G99+I99+K99+M99+O99+Q99+S99+U99+W99</f>
        <v/>
      </c>
      <c r="AA99" s="353">
        <f>Y99+Z99*2</f>
        <v/>
      </c>
      <c r="AB99" s="351" t="n"/>
      <c r="AC99" s="352" t="n"/>
      <c r="AD99" s="351" t="n"/>
      <c r="AE99" s="352" t="n"/>
      <c r="AF99" s="351" t="n"/>
      <c r="AG99" s="436" t="n"/>
      <c r="AH99" s="353" t="n"/>
    </row>
    <row r="100" ht="15" customHeight="1" s="1">
      <c r="A100" s="346" t="str"/>
      <c r="B100" s="359" t="n"/>
      <c r="C100" s="347" t="inlineStr">
        <is>
          <t>Weight</t>
        </is>
      </c>
      <c r="D100" s="360">
        <f>D12+D20+D28+D36+D44+D52+D60+D68+D76+D84+D92</f>
        <v/>
      </c>
      <c r="E100" s="272" t="n"/>
      <c r="F100" s="360">
        <f>F12+F20+F28+F36+F44+F52+F60+F68+F76+F84+F92</f>
        <v/>
      </c>
      <c r="G100" s="272" t="n"/>
      <c r="H100" s="360">
        <f>H12+H20+H28+H36+H44+H52+H60+H68+H76+H84+H92</f>
        <v/>
      </c>
      <c r="I100" s="272" t="n"/>
      <c r="J100" s="360">
        <f>J12+J20+J28+J36+J44+J52+J60+J68+J76+J84+J92</f>
        <v/>
      </c>
      <c r="K100" s="272" t="n"/>
      <c r="L100" s="360">
        <f>L12+L20+L28+L36+L44+L52+L60+L68+L76+L84+L92</f>
        <v/>
      </c>
      <c r="M100" s="272" t="n"/>
      <c r="N100" s="360">
        <f>N12+N20+N28+N36+N44+N52+N60+N68+N76+N84+N92</f>
        <v/>
      </c>
      <c r="O100" s="272" t="n"/>
      <c r="P100" s="360">
        <f>P12+P20+P28+P36+P44+P52+P60+P68+P76+P84+P92</f>
        <v/>
      </c>
      <c r="Q100" s="272" t="n"/>
      <c r="R100" s="360">
        <f>R12+R20+R28+R36+R44+R52+R60+R68+R76+R84+R92</f>
        <v/>
      </c>
      <c r="S100" s="272" t="n"/>
      <c r="T100" s="360">
        <f>T12+T20+T28+T36+T44+T52+T60+T68+T76+T84+T92</f>
        <v/>
      </c>
      <c r="U100" s="272" t="n"/>
      <c r="V100" s="360">
        <f>V12+V20+V28+V36+V44+V52+V60+V68+V76+V84+V92</f>
        <v/>
      </c>
      <c r="W100" s="272" t="n"/>
      <c r="X100" s="204" t="n"/>
      <c r="Y100" s="437">
        <f>D100+F100+H100+J100+L100+N100+P100+R100+T100+V100</f>
        <v/>
      </c>
      <c r="Z100" s="433" t="n"/>
      <c r="AA100" s="437" t="n"/>
      <c r="AB100" s="361" t="n"/>
      <c r="AC100" s="438" t="n"/>
      <c r="AD100" s="439" t="n"/>
      <c r="AE100" s="440" t="n"/>
      <c r="AF100" s="361" t="n"/>
      <c r="AG100" s="438" t="n"/>
      <c r="AH100" s="437" t="n"/>
    </row>
    <row r="101" ht="15" customHeight="1" s="1">
      <c r="A101" s="441" t="n"/>
      <c r="B101" s="130" t="n"/>
      <c r="C101" s="368" t="inlineStr">
        <is>
          <t>TTL</t>
        </is>
      </c>
      <c r="D101" s="369">
        <f>D94+D95+D96+D97+D98+D99</f>
        <v/>
      </c>
      <c r="E101" s="370">
        <f>E94+E95+E96+E97+E98+E99</f>
        <v/>
      </c>
      <c r="F101" s="369">
        <f>F94+F95+F96+F97+F98+F99</f>
        <v/>
      </c>
      <c r="G101" s="370">
        <f>G94+G95+G96+G97+G98+G99</f>
        <v/>
      </c>
      <c r="H101" s="369">
        <f>H94+H95+H96+H97+H98+H99</f>
        <v/>
      </c>
      <c r="I101" s="370">
        <f>I94+I95+I96+I97+I98+I99</f>
        <v/>
      </c>
      <c r="J101" s="369">
        <f>J94+J95+J96+J97+J98+J99</f>
        <v/>
      </c>
      <c r="K101" s="370">
        <f>K94+K95+K96+K97+K98+K99</f>
        <v/>
      </c>
      <c r="L101" s="369">
        <f>L94+L95+L96+L97+L98+L99</f>
        <v/>
      </c>
      <c r="M101" s="370">
        <f>M94+M95+M96+M97+M98+M99</f>
        <v/>
      </c>
      <c r="N101" s="369">
        <f>N94+N95+N96+N97+N98+N99</f>
        <v/>
      </c>
      <c r="O101" s="370">
        <f>O94+O95+O96+O97+O98+O99</f>
        <v/>
      </c>
      <c r="P101" s="369">
        <f>P94+P95+P96+P97+P98+P99</f>
        <v/>
      </c>
      <c r="Q101" s="370">
        <f>Q94+Q95+Q96+Q97+Q98+Q99</f>
        <v/>
      </c>
      <c r="R101" s="369">
        <f>R94+R95+R96+R97+R98+R99</f>
        <v/>
      </c>
      <c r="S101" s="370">
        <f>S94+S95+S96+S97+S98+S99</f>
        <v/>
      </c>
      <c r="T101" s="369">
        <f>T94+T95+T96+T97+T98+T99</f>
        <v/>
      </c>
      <c r="U101" s="370">
        <f>U94+U95+U96+U97+U98+U99</f>
        <v/>
      </c>
      <c r="V101" s="369">
        <f>V94+V95+V96+V97+V98+V99</f>
        <v/>
      </c>
      <c r="W101" s="370">
        <f>W94+W95+W96+W97+W98+W99</f>
        <v/>
      </c>
      <c r="X101" s="371" t="n"/>
      <c r="Y101" s="372">
        <f>D101+F101+H101+J101+L101+N101+P101+R101+T101+V101</f>
        <v/>
      </c>
      <c r="Z101" s="373">
        <f>E101+G101+I101+K101+M101+O101+Q101+S101+U101+W101</f>
        <v/>
      </c>
      <c r="AA101" s="374">
        <f>Y101+Z101*2</f>
        <v/>
      </c>
      <c r="AB101" s="372" t="n"/>
      <c r="AC101" s="373" t="n"/>
      <c r="AD101" s="372" t="n"/>
      <c r="AE101" s="373" t="n"/>
      <c r="AF101" s="372" t="n"/>
      <c r="AG101" s="442" t="n"/>
      <c r="AH101" s="374" t="n"/>
    </row>
    <row r="102" ht="15" customHeight="1" s="1">
      <c r="A102" s="380" t="inlineStr">
        <is>
          <t>TEUS</t>
        </is>
      </c>
      <c r="B102" s="381" t="n"/>
      <c r="C102" s="382" t="n"/>
      <c r="D102" s="383">
        <f>D94+E94*2+D95+E95*2+D96+E96*2+D97+E97*2+D98+E98*2+D99+E99*2</f>
        <v/>
      </c>
      <c r="E102" s="124" t="n"/>
      <c r="F102" s="383">
        <f>F94+G94*2+F95+G95*2+F96+G96*2+F97+G97*2+F98+G98*2+F99+G99*2</f>
        <v/>
      </c>
      <c r="G102" s="124" t="n"/>
      <c r="H102" s="383">
        <f>H94+I94*2+H95+I95*2+H96+I96*2+H97+I97*2+H98+I98*2+H99+I99*2</f>
        <v/>
      </c>
      <c r="I102" s="124" t="n"/>
      <c r="J102" s="383">
        <f>J94+K94*2+J95+K95*2+J96+K96*2+J97+K97*2+J98+K98*2+J99+K99*2</f>
        <v/>
      </c>
      <c r="K102" s="124" t="n"/>
      <c r="L102" s="383">
        <f>L94+M94*2+L95+M95*2+L96+M96*2+L97+M97*2+L98+M98*2+L99+M99*2</f>
        <v/>
      </c>
      <c r="M102" s="124" t="n"/>
      <c r="N102" s="383">
        <f>N94+O94*2+N95+O95*2+N96+O96*2+N97+O97*2+N98+O98*2+N99+O99*2</f>
        <v/>
      </c>
      <c r="O102" s="124" t="n"/>
      <c r="P102" s="383">
        <f>P94+Q94*2+P95+Q95*2+P96+Q96*2+P97+Q97*2+P98+Q98*2+P99+Q99*2</f>
        <v/>
      </c>
      <c r="Q102" s="124" t="n"/>
      <c r="R102" s="383">
        <f>R94+S94*2+R95+S95*2+R96+S96*2+R97+S97*2+R98+S98*2+R99+S99*2</f>
        <v/>
      </c>
      <c r="S102" s="124" t="n"/>
      <c r="T102" s="383">
        <f>T94+U94*2+T95+U95*2+T96+U96*2+T97+U97*2+T98+U98*2+T99+U99*2</f>
        <v/>
      </c>
      <c r="U102" s="124" t="n"/>
      <c r="V102" s="383">
        <f>V94+W94*2+V95+W95*2+V96+W96*2+V97+W97*2+V98+W98*2+V99+W99*2</f>
        <v/>
      </c>
      <c r="W102" s="124" t="n"/>
      <c r="X102" s="384" t="n"/>
      <c r="Y102" s="443" t="n"/>
      <c r="Z102" s="444" t="n"/>
      <c r="AA102" s="445" t="n"/>
      <c r="AB102" s="443" t="n"/>
      <c r="AC102" s="444" t="n"/>
      <c r="AD102" s="443" t="n"/>
      <c r="AE102" s="444" t="n"/>
      <c r="AF102" s="443" t="n"/>
      <c r="AG102" s="446" t="n"/>
      <c r="AH102" s="445" t="n"/>
    </row>
    <row r="103" ht="15" customHeight="1" s="1">
      <c r="A103" s="390" t="inlineStr">
        <is>
          <t>TOTAL MTONS</t>
        </is>
      </c>
      <c r="B103" s="391" t="n"/>
      <c r="C103" s="392" t="n"/>
      <c r="D103" s="393">
        <f>D100</f>
        <v/>
      </c>
      <c r="E103" s="274" t="n"/>
      <c r="F103" s="393">
        <f>F100</f>
        <v/>
      </c>
      <c r="G103" s="274" t="n"/>
      <c r="H103" s="393">
        <f>H100</f>
        <v/>
      </c>
      <c r="I103" s="274" t="n"/>
      <c r="J103" s="393">
        <f>J100</f>
        <v/>
      </c>
      <c r="K103" s="274" t="n"/>
      <c r="L103" s="393">
        <f>L100</f>
        <v/>
      </c>
      <c r="M103" s="274" t="n"/>
      <c r="N103" s="393">
        <f>N100</f>
        <v/>
      </c>
      <c r="O103" s="274" t="n"/>
      <c r="P103" s="393">
        <f>P100</f>
        <v/>
      </c>
      <c r="Q103" s="274" t="n"/>
      <c r="R103" s="393">
        <f>R100</f>
        <v/>
      </c>
      <c r="S103" s="274" t="n"/>
      <c r="T103" s="393">
        <f>T100</f>
        <v/>
      </c>
      <c r="U103" s="274" t="n"/>
      <c r="V103" s="393">
        <f>V100</f>
        <v/>
      </c>
      <c r="W103" s="274" t="n"/>
      <c r="X103" s="240" t="n"/>
      <c r="Y103" s="447" t="n"/>
      <c r="Z103" s="448" t="n"/>
      <c r="AA103" s="449" t="n"/>
      <c r="AB103" s="447" t="n"/>
      <c r="AC103" s="448" t="n"/>
      <c r="AD103" s="450" t="n"/>
      <c r="AE103" s="451" t="n"/>
      <c r="AF103" s="447" t="n"/>
      <c r="AG103" s="448" t="n"/>
      <c r="AH103" s="449" t="n"/>
    </row>
    <row r="104" ht="15" customHeight="1" s="1">
      <c r="A104" s="400" t="n"/>
      <c r="B104" s="401" t="n"/>
      <c r="C104" s="402" t="n"/>
      <c r="D104" s="429" t="n"/>
      <c r="E104" s="430" t="n"/>
      <c r="F104" s="429" t="n"/>
      <c r="G104" s="430" t="n"/>
      <c r="H104" s="429" t="n"/>
      <c r="I104" s="430" t="n"/>
      <c r="J104" s="429" t="n"/>
      <c r="K104" s="430" t="n"/>
      <c r="L104" s="429" t="n"/>
      <c r="M104" s="430" t="n"/>
      <c r="N104" s="429" t="n"/>
      <c r="O104" s="430" t="n"/>
      <c r="P104" s="429" t="n"/>
      <c r="Q104" s="430" t="n"/>
      <c r="R104" s="429" t="n"/>
      <c r="S104" s="430" t="n"/>
      <c r="T104" s="429" t="n"/>
      <c r="U104" s="430" t="n"/>
      <c r="V104" s="429" t="n"/>
      <c r="W104" s="430" t="n"/>
      <c r="X104" s="315" t="n"/>
      <c r="Y104" s="316" t="n"/>
      <c r="Z104" s="317" t="n"/>
      <c r="AA104" s="318" t="n"/>
      <c r="AB104" s="316" t="n"/>
      <c r="AC104" s="317" t="n"/>
      <c r="AD104" s="316" t="n"/>
      <c r="AE104" s="317" t="n"/>
      <c r="AF104" s="316" t="n"/>
      <c r="AG104" s="431" t="n"/>
      <c r="AH104" s="318" t="n"/>
    </row>
    <row r="105" ht="15" customHeight="1" s="1">
      <c r="A105" s="400" t="n"/>
      <c r="B105" s="401" t="n"/>
      <c r="C105" s="402" t="n"/>
      <c r="D105" s="429" t="n"/>
      <c r="E105" s="430" t="n"/>
      <c r="F105" s="429" t="n"/>
      <c r="G105" s="430" t="n"/>
      <c r="H105" s="429" t="n"/>
      <c r="I105" s="430" t="n"/>
      <c r="J105" s="429" t="n"/>
      <c r="K105" s="430" t="n"/>
      <c r="L105" s="429" t="n"/>
      <c r="M105" s="430" t="n"/>
      <c r="N105" s="429" t="n"/>
      <c r="O105" s="430" t="n"/>
      <c r="P105" s="429" t="n"/>
      <c r="Q105" s="430" t="n"/>
      <c r="R105" s="429" t="n"/>
      <c r="S105" s="430" t="n"/>
      <c r="T105" s="429" t="n"/>
      <c r="U105" s="430" t="n"/>
      <c r="V105" s="429" t="n"/>
      <c r="W105" s="430" t="n"/>
      <c r="X105" s="315" t="n"/>
      <c r="Y105" s="316" t="n"/>
      <c r="Z105" s="317" t="n"/>
      <c r="AA105" s="318" t="n"/>
      <c r="AB105" s="316" t="n"/>
      <c r="AC105" s="317" t="n"/>
      <c r="AD105" s="316" t="n"/>
      <c r="AE105" s="317" t="n"/>
      <c r="AF105" s="316" t="n"/>
      <c r="AG105" s="431" t="n"/>
      <c r="AH105" s="318" t="n"/>
    </row>
    <row r="106" ht="15" customHeight="1" s="1">
      <c r="A106" s="452" t="inlineStr">
        <is>
          <t>Move Count Utilised (Sheet)</t>
        </is>
      </c>
      <c r="B106" s="124" t="n"/>
      <c r="C106" s="125" t="n"/>
      <c r="D106" s="383">
        <f>D101+E101+Y21+Z21</f>
        <v/>
      </c>
      <c r="E106" s="124" t="n"/>
      <c r="F106" s="383">
        <f>F101+G101+Y29+Z29</f>
        <v/>
      </c>
      <c r="G106" s="124" t="n"/>
      <c r="H106" s="383">
        <f>H101+I101+Y37+Z37</f>
        <v/>
      </c>
      <c r="I106" s="124" t="n"/>
      <c r="J106" s="383">
        <f>J101+K101+Y45+Z45</f>
        <v/>
      </c>
      <c r="K106" s="124" t="n"/>
      <c r="L106" s="383">
        <f>L101+M101+Y53+Z53</f>
        <v/>
      </c>
      <c r="M106" s="124" t="n"/>
      <c r="N106" s="383">
        <f>N101+O101+Y61+Z61</f>
        <v/>
      </c>
      <c r="O106" s="124" t="n"/>
      <c r="P106" s="383">
        <f>P101+Q101+Y69+Z69</f>
        <v/>
      </c>
      <c r="Q106" s="124" t="n"/>
      <c r="R106" s="383">
        <f>R101+S101+Y77+Z77</f>
        <v/>
      </c>
      <c r="S106" s="124" t="n"/>
      <c r="T106" s="383">
        <f>T101+U101+Y85+Z85</f>
        <v/>
      </c>
      <c r="U106" s="124" t="n"/>
      <c r="V106" s="383">
        <f>V101+W101+Y93+Z93</f>
        <v/>
      </c>
      <c r="W106" s="124" t="n"/>
      <c r="X106" s="384" t="n"/>
      <c r="Y106" s="443" t="n"/>
      <c r="Z106" s="444" t="n"/>
      <c r="AA106" s="445" t="n"/>
      <c r="AB106" s="443" t="n"/>
      <c r="AC106" s="444" t="n"/>
      <c r="AD106" s="443" t="n"/>
      <c r="AE106" s="444" t="n"/>
      <c r="AF106" s="443" t="n"/>
      <c r="AG106" s="446" t="n"/>
      <c r="AH106" s="445" t="n"/>
    </row>
    <row r="107" ht="15" customHeight="1" s="1">
      <c r="A107" s="428" t="inlineStr">
        <is>
          <t>Move Count Utilised (WB+EB)</t>
        </is>
      </c>
      <c r="C107" s="127" t="n"/>
      <c r="D107" s="403">
        <f>SUMIF(WB!$D$3:$W$3,D$3,WB!$D$106:$W$106)+SUMIF(EB!$D$3:$K$3,D$3,EB!$D$58:$K$58)</f>
        <v/>
      </c>
      <c r="F107" s="403">
        <f>SUMIF(WB!$D$3:$W$3,F$3,WB!$D$106:$W$106)+SUMIF(EB!$D$3:$K$3,F$3,EB!$D$58:$K$58)</f>
        <v/>
      </c>
      <c r="H107" s="403">
        <f>SUMIF(WB!$D$3:$W$3,H$3,WB!$D$106:$W$106)+SUMIF(EB!$D$3:$K$3,H$3,EB!$D$58:$K$58)</f>
        <v/>
      </c>
      <c r="J107" s="403">
        <f>SUMIF(WB!$D$3:$W$3,J$3,WB!$D$106:$W$106)+SUMIF(EB!$D$3:$K$3,J$3,EB!$D$58:$K$58)</f>
        <v/>
      </c>
      <c r="L107" s="403">
        <f>SUMIF(WB!$D$3:$W$3,L$3,WB!$D$106:$W$106)+SUMIF(EB!$D$3:$K$3,L$3,EB!$D$58:$K$58)</f>
        <v/>
      </c>
      <c r="N107" s="403">
        <f>SUMIF(WB!$D$3:$W$3,N$3,WB!$D$106:$W$106)+SUMIF(EB!$D$3:$K$3,N$3,EB!$D$58:$K$58)</f>
        <v/>
      </c>
      <c r="P107" s="403">
        <f>SUMIF(WB!$D$3:$W$3,P$3,WB!$D$106:$W$106)+SUMIF(EB!$D$3:$K$3,P$3,EB!$D$58:$K$58)</f>
        <v/>
      </c>
      <c r="R107" s="403">
        <f>SUMIF(WB!$D$3:$W$3,R$3,WB!$D$106:$W$106)+SUMIF(EB!$D$3:$K$3,R$3,EB!$D$58:$K$58)</f>
        <v/>
      </c>
      <c r="T107" s="403">
        <f>SUMIF(WB!$D$3:$W$3,T$3,WB!$D$106:$W$106)+SUMIF(EB!$D$3:$K$3,T$3,EB!$D$58:$K$58)</f>
        <v/>
      </c>
      <c r="V107" s="403">
        <f>SUMIF(WB!$D$3:$W$3,V$3,WB!$D$106:$W$106)+SUMIF(EB!$D$3:$K$3,V$3,EB!$D$58:$K$58)</f>
        <v/>
      </c>
      <c r="X107" s="404" t="n"/>
      <c r="Y107" s="453" t="n"/>
      <c r="Z107" s="454" t="n"/>
      <c r="AA107" s="455" t="n"/>
      <c r="AB107" s="453" t="n"/>
      <c r="AC107" s="454" t="n"/>
      <c r="AD107" s="453" t="n"/>
      <c r="AE107" s="454" t="n"/>
      <c r="AF107" s="453" t="n"/>
      <c r="AG107" s="456" t="n"/>
      <c r="AH107" s="455" t="n"/>
    </row>
    <row r="108" ht="15" customHeight="1" s="1">
      <c r="A108" s="457" t="inlineStr">
        <is>
          <t>Move Count Limit</t>
        </is>
      </c>
      <c r="C108" s="127" t="n"/>
      <c r="D108" s="411" t="n"/>
      <c r="F108" s="411" t="n"/>
      <c r="H108" s="411" t="n"/>
      <c r="J108" s="411" t="n"/>
      <c r="L108" s="411" t="n"/>
      <c r="N108" s="411" t="n"/>
      <c r="P108" s="411" t="n"/>
      <c r="R108" s="411" t="n"/>
      <c r="T108" s="411" t="n"/>
      <c r="V108" s="411" t="n"/>
      <c r="X108" s="412" t="n"/>
      <c r="Y108" s="458" t="n"/>
      <c r="Z108" s="459" t="n"/>
      <c r="AA108" s="460" t="n"/>
      <c r="AB108" s="458" t="n"/>
      <c r="AC108" s="459" t="n"/>
      <c r="AD108" s="458" t="n"/>
      <c r="AE108" s="459" t="n"/>
      <c r="AF108" s="458" t="n"/>
      <c r="AG108" s="461" t="n"/>
      <c r="AH108" s="460" t="n"/>
    </row>
    <row r="109" ht="15" customHeight="1" s="1">
      <c r="A109" s="434" t="inlineStr">
        <is>
          <t>Balance Move Count</t>
        </is>
      </c>
      <c r="B109" s="129" t="n"/>
      <c r="C109" s="130" t="n"/>
      <c r="D109" s="418">
        <f>D108-D107</f>
        <v/>
      </c>
      <c r="E109" s="129" t="n"/>
      <c r="F109" s="418">
        <f>F108-F107</f>
        <v/>
      </c>
      <c r="G109" s="129" t="n"/>
      <c r="H109" s="418">
        <f>H108-H107</f>
        <v/>
      </c>
      <c r="I109" s="129" t="n"/>
      <c r="J109" s="418">
        <f>J108-J107</f>
        <v/>
      </c>
      <c r="K109" s="129" t="n"/>
      <c r="L109" s="418">
        <f>L108-L107</f>
        <v/>
      </c>
      <c r="M109" s="129" t="n"/>
      <c r="N109" s="418">
        <f>N108-N107</f>
        <v/>
      </c>
      <c r="O109" s="129" t="n"/>
      <c r="P109" s="418">
        <f>P108-P107</f>
        <v/>
      </c>
      <c r="Q109" s="129" t="n"/>
      <c r="R109" s="418">
        <f>R108-R107</f>
        <v/>
      </c>
      <c r="S109" s="129" t="n"/>
      <c r="T109" s="418">
        <f>T108-T107</f>
        <v/>
      </c>
      <c r="U109" s="129" t="n"/>
      <c r="V109" s="418">
        <f>V108-V107</f>
        <v/>
      </c>
      <c r="W109" s="129" t="n"/>
      <c r="X109" s="420" t="n"/>
      <c r="Y109" s="462" t="n"/>
      <c r="Z109" s="463" t="n"/>
      <c r="AA109" s="464" t="n"/>
      <c r="AB109" s="462" t="n"/>
      <c r="AC109" s="463" t="n"/>
      <c r="AD109" s="462" t="n"/>
      <c r="AE109" s="463" t="n"/>
      <c r="AF109" s="462" t="n"/>
      <c r="AG109" s="465" t="n"/>
      <c r="AH109" s="464" t="n"/>
    </row>
  </sheetData>
  <mergeCells count="253">
    <mergeCell ref="AD3:AE3"/>
    <mergeCell ref="R92:S92"/>
    <mergeCell ref="D60:E60"/>
    <mergeCell ref="D20:E20"/>
    <mergeCell ref="N20:O20"/>
    <mergeCell ref="R44:S44"/>
    <mergeCell ref="N76:O76"/>
    <mergeCell ref="P20:Q20"/>
    <mergeCell ref="P76:Q76"/>
    <mergeCell ref="F68:G68"/>
    <mergeCell ref="F103:G103"/>
    <mergeCell ref="D100:E100"/>
    <mergeCell ref="N100:O100"/>
    <mergeCell ref="F108:G108"/>
    <mergeCell ref="V100:W100"/>
    <mergeCell ref="R28:S28"/>
    <mergeCell ref="D84:E84"/>
    <mergeCell ref="V52:W52"/>
    <mergeCell ref="J28:K28"/>
    <mergeCell ref="F84:G84"/>
    <mergeCell ref="D36:E36"/>
    <mergeCell ref="L28:M28"/>
    <mergeCell ref="P84:Q84"/>
    <mergeCell ref="J60:K60"/>
    <mergeCell ref="V102:W102"/>
    <mergeCell ref="A30:B34"/>
    <mergeCell ref="R84:S84"/>
    <mergeCell ref="L3:M3"/>
    <mergeCell ref="J68:K68"/>
    <mergeCell ref="N3:O3"/>
    <mergeCell ref="L12:M12"/>
    <mergeCell ref="D108:E108"/>
    <mergeCell ref="V20:W20"/>
    <mergeCell ref="N12:O12"/>
    <mergeCell ref="L68:M68"/>
    <mergeCell ref="V28:W28"/>
    <mergeCell ref="D2:H2"/>
    <mergeCell ref="N68:O68"/>
    <mergeCell ref="D44:E44"/>
    <mergeCell ref="A54:B58"/>
    <mergeCell ref="T44:U44"/>
    <mergeCell ref="V44:W44"/>
    <mergeCell ref="V84:W84"/>
    <mergeCell ref="H52:I52"/>
    <mergeCell ref="H108:I108"/>
    <mergeCell ref="J108:K108"/>
    <mergeCell ref="R12:S12"/>
    <mergeCell ref="L102:M102"/>
    <mergeCell ref="T12:U12"/>
    <mergeCell ref="J4:K4"/>
    <mergeCell ref="A101:B101"/>
    <mergeCell ref="L4:M4"/>
    <mergeCell ref="V108:W108"/>
    <mergeCell ref="L109:M109"/>
    <mergeCell ref="A46:B50"/>
    <mergeCell ref="N103:O103"/>
    <mergeCell ref="Y52:Z52"/>
    <mergeCell ref="A85:B85"/>
    <mergeCell ref="P103:Q103"/>
    <mergeCell ref="D4:E4"/>
    <mergeCell ref="Y84:Z84"/>
    <mergeCell ref="R106:S106"/>
    <mergeCell ref="Y36:Z36"/>
    <mergeCell ref="A53:B53"/>
    <mergeCell ref="Y100:Z100"/>
    <mergeCell ref="F107:G107"/>
    <mergeCell ref="V109:W109"/>
    <mergeCell ref="H107:I107"/>
    <mergeCell ref="R107:S107"/>
    <mergeCell ref="T107:U107"/>
    <mergeCell ref="R60:S60"/>
    <mergeCell ref="L107:M107"/>
    <mergeCell ref="V76:W76"/>
    <mergeCell ref="A45:B45"/>
    <mergeCell ref="A3:C3"/>
    <mergeCell ref="H102:I102"/>
    <mergeCell ref="A61:B61"/>
    <mergeCell ref="J102:K102"/>
    <mergeCell ref="P60:Q60"/>
    <mergeCell ref="H68:I68"/>
    <mergeCell ref="L106:M106"/>
    <mergeCell ref="P52:Q52"/>
    <mergeCell ref="A5:C5"/>
    <mergeCell ref="T68:U68"/>
    <mergeCell ref="R108:S108"/>
    <mergeCell ref="D76:E76"/>
    <mergeCell ref="T108:U108"/>
    <mergeCell ref="F20:G20"/>
    <mergeCell ref="F76:G76"/>
    <mergeCell ref="A37:B37"/>
    <mergeCell ref="A94:B98"/>
    <mergeCell ref="A106:C106"/>
    <mergeCell ref="N102:O102"/>
    <mergeCell ref="P36:Q36"/>
    <mergeCell ref="H36:I36"/>
    <mergeCell ref="R36:S36"/>
    <mergeCell ref="A4:C4"/>
    <mergeCell ref="J36:K36"/>
    <mergeCell ref="T92:U92"/>
    <mergeCell ref="N52:O52"/>
    <mergeCell ref="L92:M92"/>
    <mergeCell ref="A78:B82"/>
    <mergeCell ref="N92:O92"/>
    <mergeCell ref="F109:G109"/>
    <mergeCell ref="A1:G1"/>
    <mergeCell ref="H109:I109"/>
    <mergeCell ref="J20:K20"/>
    <mergeCell ref="J103:K103"/>
    <mergeCell ref="L20:M20"/>
    <mergeCell ref="N44:O44"/>
    <mergeCell ref="J100:K100"/>
    <mergeCell ref="R109:S109"/>
    <mergeCell ref="R100:S100"/>
    <mergeCell ref="D103:E103"/>
    <mergeCell ref="T109:U109"/>
    <mergeCell ref="T100:U100"/>
    <mergeCell ref="V103:W103"/>
    <mergeCell ref="N28:O28"/>
    <mergeCell ref="F28:G28"/>
    <mergeCell ref="P28:Q28"/>
    <mergeCell ref="H28:I28"/>
    <mergeCell ref="P102:Q102"/>
    <mergeCell ref="L44:M44"/>
    <mergeCell ref="L84:M84"/>
    <mergeCell ref="N84:O84"/>
    <mergeCell ref="H3:I3"/>
    <mergeCell ref="J3:K3"/>
    <mergeCell ref="H12:I12"/>
    <mergeCell ref="H1:M1"/>
    <mergeCell ref="J12:K12"/>
    <mergeCell ref="Y76:Z76"/>
    <mergeCell ref="A14:B18"/>
    <mergeCell ref="A93:B93"/>
    <mergeCell ref="F44:G44"/>
    <mergeCell ref="A77:B77"/>
    <mergeCell ref="N4:O4"/>
    <mergeCell ref="H106:I106"/>
    <mergeCell ref="A38:B42"/>
    <mergeCell ref="F4:G4"/>
    <mergeCell ref="P4:Q4"/>
    <mergeCell ref="A108:C108"/>
    <mergeCell ref="Y3:Z3"/>
    <mergeCell ref="L103:M103"/>
    <mergeCell ref="Y68:Z68"/>
    <mergeCell ref="N106:O106"/>
    <mergeCell ref="A2:C2"/>
    <mergeCell ref="A69:B69"/>
    <mergeCell ref="Y92:Z92"/>
    <mergeCell ref="D52:E52"/>
    <mergeCell ref="T106:U106"/>
    <mergeCell ref="Y20:Z20"/>
    <mergeCell ref="Y2:Z2"/>
    <mergeCell ref="H60:I60"/>
    <mergeCell ref="D107:E107"/>
    <mergeCell ref="F36:G36"/>
    <mergeCell ref="V107:W107"/>
    <mergeCell ref="A6:B10"/>
    <mergeCell ref="N107:O107"/>
    <mergeCell ref="P107:Q107"/>
    <mergeCell ref="A21:B21"/>
    <mergeCell ref="F100:G100"/>
    <mergeCell ref="R20:S20"/>
    <mergeCell ref="R76:S76"/>
    <mergeCell ref="H100:I100"/>
    <mergeCell ref="D106:E106"/>
    <mergeCell ref="T76:U76"/>
    <mergeCell ref="Y28:Z28"/>
    <mergeCell ref="L76:M76"/>
    <mergeCell ref="D28:E28"/>
    <mergeCell ref="V36:W36"/>
    <mergeCell ref="H84:I84"/>
    <mergeCell ref="D102:E102"/>
    <mergeCell ref="T60:U60"/>
    <mergeCell ref="D3:E3"/>
    <mergeCell ref="F102:G102"/>
    <mergeCell ref="L60:M60"/>
    <mergeCell ref="D12:E12"/>
    <mergeCell ref="N60:O60"/>
    <mergeCell ref="T84:U84"/>
    <mergeCell ref="L100:M100"/>
    <mergeCell ref="P3:Q3"/>
    <mergeCell ref="D92:E92"/>
    <mergeCell ref="Y1:AH1"/>
    <mergeCell ref="A107:C107"/>
    <mergeCell ref="J106:K106"/>
    <mergeCell ref="P12:Q12"/>
    <mergeCell ref="L52:M52"/>
    <mergeCell ref="P68:Q68"/>
    <mergeCell ref="R68:S68"/>
    <mergeCell ref="P108:Q108"/>
    <mergeCell ref="F92:G92"/>
    <mergeCell ref="T28:U28"/>
    <mergeCell ref="R52:S52"/>
    <mergeCell ref="T3:U3"/>
    <mergeCell ref="J52:K52"/>
    <mergeCell ref="H92:I92"/>
    <mergeCell ref="V3:W3"/>
    <mergeCell ref="L108:M108"/>
    <mergeCell ref="J92:K92"/>
    <mergeCell ref="N108:O108"/>
    <mergeCell ref="V12:W12"/>
    <mergeCell ref="AF3:AG3"/>
    <mergeCell ref="D109:E109"/>
    <mergeCell ref="J44:K44"/>
    <mergeCell ref="H20:I20"/>
    <mergeCell ref="V68:W68"/>
    <mergeCell ref="V92:W92"/>
    <mergeCell ref="H103:I103"/>
    <mergeCell ref="N109:O109"/>
    <mergeCell ref="P100:Q100"/>
    <mergeCell ref="P109:Q109"/>
    <mergeCell ref="R103:S103"/>
    <mergeCell ref="T20:U20"/>
    <mergeCell ref="T103:U103"/>
    <mergeCell ref="P44:Q44"/>
    <mergeCell ref="H4:I4"/>
    <mergeCell ref="H44:I44"/>
    <mergeCell ref="J84:K84"/>
    <mergeCell ref="R4:S4"/>
    <mergeCell ref="V106:W106"/>
    <mergeCell ref="T4:U4"/>
    <mergeCell ref="F3:G3"/>
    <mergeCell ref="V4:W4"/>
    <mergeCell ref="F12:G12"/>
    <mergeCell ref="Y44:Z44"/>
    <mergeCell ref="J107:K107"/>
    <mergeCell ref="A70:B74"/>
    <mergeCell ref="A109:C109"/>
    <mergeCell ref="Y60:Z60"/>
    <mergeCell ref="F106:G106"/>
    <mergeCell ref="V60:W60"/>
    <mergeCell ref="A86:B90"/>
    <mergeCell ref="R3:S3"/>
    <mergeCell ref="L36:M36"/>
    <mergeCell ref="J109:K109"/>
    <mergeCell ref="F52:G52"/>
    <mergeCell ref="Y12:Z12"/>
    <mergeCell ref="D68:E68"/>
    <mergeCell ref="A29:B29"/>
    <mergeCell ref="P106:Q106"/>
    <mergeCell ref="T52:U52"/>
    <mergeCell ref="F60:G60"/>
    <mergeCell ref="H76:I76"/>
    <mergeCell ref="J76:K76"/>
    <mergeCell ref="A13:B13"/>
    <mergeCell ref="R102:S102"/>
    <mergeCell ref="T36:U36"/>
    <mergeCell ref="T102:U102"/>
    <mergeCell ref="A22:B26"/>
    <mergeCell ref="N36:O36"/>
    <mergeCell ref="A62:B66"/>
    <mergeCell ref="AB3:AC3"/>
    <mergeCell ref="P92:Q92"/>
  </mergeCells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V61"/>
  <sheetViews>
    <sheetView showGridLines="0" zoomScale="85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style="1" min="1" max="1"/>
    <col width="9" customWidth="1" style="1" min="2" max="2"/>
    <col width="10" customWidth="1" style="1" min="3" max="3"/>
    <col width="6.2" customWidth="1" style="1" min="4" max="4"/>
    <col width="6.2" customWidth="1" style="1" min="5" max="5"/>
    <col width="6.2" customWidth="1" style="1" min="6" max="6"/>
    <col width="6.2" customWidth="1" style="1" min="7" max="7"/>
    <col width="7.4" customWidth="1" style="1" min="8" max="8"/>
    <col width="7.4" customWidth="1" style="1" min="9" max="9"/>
    <col width="7.4" customWidth="1" style="1" min="10" max="10"/>
    <col width="7.4" customWidth="1" style="1" min="11" max="11"/>
    <col width="1.6" customWidth="1" style="1" min="12" max="12"/>
    <col width="7" customWidth="1" style="1" min="13" max="13"/>
    <col width="7" customWidth="1" style="1" min="14" max="14"/>
    <col width="7" customWidth="1" style="1" min="15" max="15"/>
    <col width="7" customWidth="1" style="1" min="16" max="16"/>
    <col width="7" customWidth="1" style="1" min="17" max="17"/>
    <col width="7" customWidth="1" style="1" min="18" max="18"/>
    <col width="7" customWidth="1" style="1" min="19" max="19"/>
    <col width="7" customWidth="1" style="1" min="20" max="20"/>
    <col width="7" customWidth="1" style="1" min="21" max="21"/>
    <col width="8.5" customWidth="1" style="1" min="22" max="22"/>
  </cols>
  <sheetData>
    <row r="1" ht="16" customHeight="1" s="1">
      <c r="A1" s="281" t="inlineStr">
        <is>
          <t xml:space="preserve">Vessel Space Utilization Report - </t>
        </is>
      </c>
      <c r="B1" s="124" t="n"/>
      <c r="C1" s="124" t="n"/>
      <c r="D1" s="124" t="n"/>
      <c r="E1" s="124" t="n"/>
      <c r="F1" s="124" t="n"/>
      <c r="G1" s="124" t="n"/>
      <c r="H1" s="466" t="inlineStr">
        <is>
          <t>Selection: Source Bayplan, Actual Booking &amp; CBF</t>
        </is>
      </c>
      <c r="I1" s="124" t="n"/>
      <c r="J1" s="124" t="n"/>
      <c r="K1" s="124" t="n"/>
      <c r="L1" s="125" t="n"/>
      <c r="M1" s="287" t="n"/>
      <c r="N1" s="124" t="n"/>
      <c r="O1" s="124" t="n"/>
      <c r="P1" s="124" t="n"/>
      <c r="Q1" s="124" t="n"/>
      <c r="R1" s="124" t="n"/>
      <c r="S1" s="124" t="n"/>
      <c r="T1" s="124" t="n"/>
      <c r="U1" s="124" t="n"/>
      <c r="V1" s="125" t="n"/>
    </row>
    <row r="2" ht="16" customHeight="1" s="1">
      <c r="A2" s="297" t="inlineStr">
        <is>
          <t>Service Lane : CGX/0005</t>
        </is>
      </c>
      <c r="C2" s="127" t="n"/>
      <c r="D2" s="292" t="inlineStr">
        <is>
          <t>EXPRESS BERLIN / XPBL2625WE</t>
        </is>
      </c>
      <c r="I2" s="295" t="n"/>
      <c r="J2" s="296" t="n"/>
      <c r="K2" s="295" t="n"/>
      <c r="L2" s="297" t="n"/>
      <c r="M2" s="297" t="inlineStr">
        <is>
          <t xml:space="preserve">EB ALLOCATION : </t>
        </is>
      </c>
      <c r="N2" s="127" t="n"/>
      <c r="O2" s="298" t="n">
        <v>0</v>
      </c>
      <c r="P2" s="290" t="inlineStr">
        <is>
          <t xml:space="preserve"> TEUS, </t>
        </is>
      </c>
      <c r="Q2" s="299" t="n"/>
      <c r="R2" s="427">
        <f>O2*12</f>
        <v/>
      </c>
      <c r="S2" s="299" t="inlineStr">
        <is>
          <t xml:space="preserve"> MT, </t>
        </is>
      </c>
      <c r="T2" s="301" t="n">
        <v>0</v>
      </c>
      <c r="U2" s="299" t="inlineStr">
        <is>
          <t xml:space="preserve"> RF PLUGS </t>
        </is>
      </c>
      <c r="V2" s="297" t="n"/>
    </row>
    <row r="3" ht="16" customHeight="1" s="1">
      <c r="A3" s="123" t="inlineStr">
        <is>
          <t>POD</t>
        </is>
      </c>
      <c r="B3" s="124" t="n"/>
      <c r="C3" s="125" t="n"/>
      <c r="D3" s="302" t="inlineStr">
        <is>
          <t>AEKLF</t>
        </is>
      </c>
      <c r="E3" s="124" t="n"/>
      <c r="F3" s="302" t="inlineStr">
        <is>
          <t>OMSOH</t>
        </is>
      </c>
      <c r="G3" s="124" t="n"/>
      <c r="H3" s="302" t="inlineStr">
        <is>
          <t>PKKHI</t>
        </is>
      </c>
      <c r="I3" s="124" t="n"/>
      <c r="J3" s="302" t="inlineStr">
        <is>
          <t>CNTAO</t>
        </is>
      </c>
      <c r="K3" s="124" t="n"/>
      <c r="L3" s="303" t="n"/>
      <c r="M3" s="303" t="inlineStr">
        <is>
          <t>TOTAL</t>
        </is>
      </c>
      <c r="N3" s="125" t="n"/>
      <c r="O3" s="303" t="inlineStr">
        <is>
          <t>TTL</t>
        </is>
      </c>
      <c r="P3" s="303" t="inlineStr">
        <is>
          <t>ROB (TEUS)</t>
        </is>
      </c>
      <c r="Q3" s="125" t="n"/>
      <c r="R3" s="303" t="inlineStr">
        <is>
          <t>UTILISATION</t>
        </is>
      </c>
      <c r="S3" s="125" t="n"/>
      <c r="T3" s="303" t="inlineStr">
        <is>
          <t>AVL</t>
        </is>
      </c>
      <c r="U3" s="125" t="n"/>
      <c r="V3" s="303" t="inlineStr">
        <is>
          <t>RF Plug</t>
        </is>
      </c>
    </row>
    <row r="4" ht="16" customHeight="1" s="1">
      <c r="A4" s="126" t="inlineStr">
        <is>
          <t>ETA</t>
        </is>
      </c>
      <c r="C4" s="127" t="n"/>
      <c r="D4" s="296" t="inlineStr">
        <is>
          <t>07/24</t>
        </is>
      </c>
      <c r="F4" s="296" t="inlineStr">
        <is>
          <t>07/27</t>
        </is>
      </c>
      <c r="H4" s="296" t="inlineStr">
        <is>
          <t>08/01</t>
        </is>
      </c>
      <c r="J4" s="296" t="inlineStr">
        <is>
          <t>08/16</t>
        </is>
      </c>
      <c r="L4" s="297" t="n"/>
      <c r="M4" s="290" t="n"/>
      <c r="N4" s="299" t="n"/>
      <c r="O4" s="297" t="n"/>
      <c r="P4" s="290" t="n"/>
      <c r="Q4" s="299" t="n"/>
      <c r="R4" s="290" t="n"/>
      <c r="S4" s="299" t="n"/>
      <c r="T4" s="290" t="n"/>
      <c r="U4" s="299" t="n"/>
      <c r="V4" s="297" t="n"/>
    </row>
    <row r="5" ht="16" customHeight="1" s="1">
      <c r="A5" s="128" t="inlineStr">
        <is>
          <t>POL</t>
        </is>
      </c>
      <c r="B5" s="129" t="n"/>
      <c r="C5" s="130" t="n"/>
      <c r="D5" s="306" t="inlineStr">
        <is>
          <t>20'</t>
        </is>
      </c>
      <c r="E5" s="307" t="inlineStr">
        <is>
          <t>40'</t>
        </is>
      </c>
      <c r="F5" s="306" t="inlineStr">
        <is>
          <t>20'</t>
        </is>
      </c>
      <c r="G5" s="307" t="inlineStr">
        <is>
          <t>40'</t>
        </is>
      </c>
      <c r="H5" s="306" t="inlineStr">
        <is>
          <t>20'</t>
        </is>
      </c>
      <c r="I5" s="307" t="inlineStr">
        <is>
          <t>40'</t>
        </is>
      </c>
      <c r="J5" s="306" t="inlineStr">
        <is>
          <t>20'</t>
        </is>
      </c>
      <c r="K5" s="307" t="inlineStr">
        <is>
          <t>40'</t>
        </is>
      </c>
      <c r="L5" s="308" t="n"/>
      <c r="M5" s="309" t="inlineStr">
        <is>
          <t>20'</t>
        </is>
      </c>
      <c r="N5" s="310" t="inlineStr">
        <is>
          <t>40'</t>
        </is>
      </c>
      <c r="O5" s="308" t="inlineStr">
        <is>
          <t>TEUS</t>
        </is>
      </c>
      <c r="P5" s="309" t="inlineStr">
        <is>
          <t>(All)</t>
        </is>
      </c>
      <c r="Q5" s="310" t="inlineStr">
        <is>
          <t>(LD)</t>
        </is>
      </c>
      <c r="R5" s="309" t="inlineStr">
        <is>
          <t>(All)</t>
        </is>
      </c>
      <c r="S5" s="310" t="inlineStr">
        <is>
          <t>(LD)</t>
        </is>
      </c>
      <c r="T5" s="309" t="inlineStr">
        <is>
          <t>TEUs</t>
        </is>
      </c>
      <c r="U5" s="310" t="inlineStr">
        <is>
          <t>Weight</t>
        </is>
      </c>
      <c r="V5" s="308" t="str"/>
    </row>
    <row r="6" ht="15" customHeight="1" s="1">
      <c r="A6" s="428" t="inlineStr">
        <is>
          <t>ROB</t>
        </is>
      </c>
      <c r="B6" s="127" t="n"/>
      <c r="C6" s="312" t="inlineStr">
        <is>
          <t>LILIAN</t>
        </is>
      </c>
      <c r="D6" s="429" t="n"/>
      <c r="E6" s="430" t="n"/>
      <c r="F6" s="429" t="n"/>
      <c r="G6" s="430" t="n"/>
      <c r="H6" s="429" t="n"/>
      <c r="I6" s="430" t="n"/>
      <c r="J6" s="429" t="n"/>
      <c r="K6" s="430" t="n"/>
      <c r="L6" s="315" t="n"/>
      <c r="M6" s="316">
        <f>D6+F6+H6+J6</f>
        <v/>
      </c>
      <c r="N6" s="317">
        <f>E6+G6+I6+K6</f>
        <v/>
      </c>
      <c r="O6" s="318">
        <f>M6+N6*2</f>
        <v/>
      </c>
      <c r="P6" s="316">
        <f>0+O6+O7+O8+O9+O10+O11-(0)</f>
        <v/>
      </c>
      <c r="Q6" s="317">
        <f>0+O6+O7+O8+O9+O10-(0)</f>
        <v/>
      </c>
      <c r="R6" s="319">
        <f>IF(O$2&gt;0,P6/O$2,0)</f>
        <v/>
      </c>
      <c r="S6" s="320">
        <f>IF(O$2&gt;0,Q6/O$2,0)</f>
        <v/>
      </c>
      <c r="T6" s="316" t="n"/>
      <c r="U6" s="431" t="n"/>
      <c r="V6" s="318" t="n"/>
    </row>
    <row r="7" ht="15" customHeight="1" s="1">
      <c r="A7" s="277" t="n"/>
      <c r="B7" s="127" t="n"/>
      <c r="C7" s="312" t="inlineStr">
        <is>
          <t>SUL</t>
        </is>
      </c>
      <c r="D7" s="429" t="n"/>
      <c r="E7" s="430" t="n"/>
      <c r="F7" s="429" t="n"/>
      <c r="G7" s="430" t="n"/>
      <c r="H7" s="429" t="n"/>
      <c r="I7" s="430" t="n"/>
      <c r="J7" s="429" t="n"/>
      <c r="K7" s="430" t="n"/>
      <c r="L7" s="315" t="n"/>
      <c r="M7" s="316">
        <f>D7+F7+H7+J7</f>
        <v/>
      </c>
      <c r="N7" s="317">
        <f>E7+G7+I7+K7</f>
        <v/>
      </c>
      <c r="O7" s="318">
        <f>M7+N7*2</f>
        <v/>
      </c>
      <c r="P7" s="316" t="n"/>
      <c r="Q7" s="317" t="n"/>
      <c r="R7" s="316" t="n"/>
      <c r="S7" s="317" t="n"/>
      <c r="T7" s="316" t="n"/>
      <c r="U7" s="431" t="n"/>
      <c r="V7" s="318" t="n"/>
    </row>
    <row r="8" ht="15" customHeight="1" s="1">
      <c r="A8" s="277" t="n"/>
      <c r="B8" s="127" t="n"/>
      <c r="C8" s="312" t="inlineStr">
        <is>
          <t>T/S</t>
        </is>
      </c>
      <c r="D8" s="429" t="n"/>
      <c r="E8" s="430" t="n"/>
      <c r="F8" s="429" t="n"/>
      <c r="G8" s="430" t="n"/>
      <c r="H8" s="429" t="n"/>
      <c r="I8" s="430" t="n"/>
      <c r="J8" s="429" t="n"/>
      <c r="K8" s="430" t="n"/>
      <c r="L8" s="315" t="n"/>
      <c r="M8" s="316">
        <f>D8+F8+H8+J8</f>
        <v/>
      </c>
      <c r="N8" s="317">
        <f>E8+G8+I8+K8</f>
        <v/>
      </c>
      <c r="O8" s="318">
        <f>M8+N8*2</f>
        <v/>
      </c>
      <c r="P8" s="316" t="n"/>
      <c r="Q8" s="317" t="n"/>
      <c r="R8" s="316" t="n"/>
      <c r="S8" s="317" t="n"/>
      <c r="T8" s="316" t="n"/>
      <c r="U8" s="431" t="n"/>
      <c r="V8" s="318" t="n"/>
    </row>
    <row r="9" ht="15" customHeight="1" s="1">
      <c r="A9" s="277" t="n"/>
      <c r="B9" s="127" t="n"/>
      <c r="C9" s="312" t="inlineStr">
        <is>
          <t>SOC</t>
        </is>
      </c>
      <c r="D9" s="429" t="n"/>
      <c r="E9" s="430" t="n"/>
      <c r="F9" s="429" t="n"/>
      <c r="G9" s="430" t="n"/>
      <c r="H9" s="429" t="n"/>
      <c r="I9" s="430" t="n"/>
      <c r="J9" s="429" t="n"/>
      <c r="K9" s="430" t="n"/>
      <c r="L9" s="315" t="n"/>
      <c r="M9" s="316">
        <f>D9+F9+H9+J9</f>
        <v/>
      </c>
      <c r="N9" s="317">
        <f>E9+G9+I9+K9</f>
        <v/>
      </c>
      <c r="O9" s="318">
        <f>M9+N9*2</f>
        <v/>
      </c>
      <c r="P9" s="316" t="n"/>
      <c r="Q9" s="317" t="n"/>
      <c r="R9" s="316" t="n"/>
      <c r="S9" s="317" t="n"/>
      <c r="T9" s="316" t="n"/>
      <c r="U9" s="431" t="n"/>
      <c r="V9" s="318" t="n"/>
    </row>
    <row r="10" ht="15" customHeight="1" s="1">
      <c r="A10" s="277" t="n"/>
      <c r="B10" s="127" t="n"/>
      <c r="C10" s="312" t="inlineStr">
        <is>
          <t>RF</t>
        </is>
      </c>
      <c r="D10" s="429" t="n"/>
      <c r="E10" s="430" t="n"/>
      <c r="F10" s="429" t="n"/>
      <c r="G10" s="430" t="n"/>
      <c r="H10" s="429" t="n"/>
      <c r="I10" s="430" t="n"/>
      <c r="J10" s="429" t="n"/>
      <c r="K10" s="430" t="n"/>
      <c r="L10" s="315" t="n"/>
      <c r="M10" s="316">
        <f>D10+F10+H10+J10</f>
        <v/>
      </c>
      <c r="N10" s="317">
        <f>E10+G10+I10+K10</f>
        <v/>
      </c>
      <c r="O10" s="318">
        <f>M10+N10*2</f>
        <v/>
      </c>
      <c r="P10" s="316" t="n"/>
      <c r="Q10" s="317" t="n"/>
      <c r="R10" s="316" t="n"/>
      <c r="S10" s="317" t="n"/>
      <c r="T10" s="316" t="n"/>
      <c r="U10" s="431" t="n"/>
      <c r="V10" s="318">
        <f>$T$2-M10-N10</f>
        <v/>
      </c>
    </row>
    <row r="11" ht="15" customHeight="1" s="1">
      <c r="A11" s="311" t="n"/>
      <c r="B11" s="327" t="n"/>
      <c r="C11" s="312" t="inlineStr">
        <is>
          <t>MT</t>
        </is>
      </c>
      <c r="D11" s="429" t="n"/>
      <c r="E11" s="430" t="n"/>
      <c r="F11" s="429" t="n"/>
      <c r="G11" s="430" t="n"/>
      <c r="H11" s="429" t="n"/>
      <c r="I11" s="430" t="n"/>
      <c r="J11" s="429" t="n"/>
      <c r="K11" s="430" t="n"/>
      <c r="L11" s="315" t="n"/>
      <c r="M11" s="316">
        <f>D11+F11+H11+J11</f>
        <v/>
      </c>
      <c r="N11" s="317">
        <f>E11+G11+I11+K11</f>
        <v/>
      </c>
      <c r="O11" s="318">
        <f>M11+N11*2</f>
        <v/>
      </c>
      <c r="P11" s="316" t="n"/>
      <c r="Q11" s="317" t="n"/>
      <c r="R11" s="316" t="n"/>
      <c r="S11" s="317" t="n"/>
      <c r="T11" s="316" t="n"/>
      <c r="U11" s="431" t="n"/>
      <c r="V11" s="318" t="n"/>
    </row>
    <row r="12" ht="15" customHeight="1" s="1">
      <c r="A12" s="311" t="n"/>
      <c r="B12" s="327" t="n"/>
      <c r="C12" s="312" t="inlineStr">
        <is>
          <t>Weight</t>
        </is>
      </c>
      <c r="D12" s="328" t="n"/>
      <c r="E12" s="272" t="n"/>
      <c r="F12" s="328" t="n"/>
      <c r="G12" s="272" t="n"/>
      <c r="H12" s="328" t="n"/>
      <c r="I12" s="272" t="n"/>
      <c r="J12" s="328" t="n"/>
      <c r="K12" s="272" t="n"/>
      <c r="L12" s="173" t="n"/>
      <c r="M12" s="432">
        <f>D12+F12+H12+J12</f>
        <v/>
      </c>
      <c r="N12" s="433" t="n"/>
      <c r="O12" s="432" t="n"/>
      <c r="P12" s="330">
        <f>M12-(0)</f>
        <v/>
      </c>
      <c r="Q12" s="332">
        <f>P12-(P6-Q6)*2</f>
        <v/>
      </c>
      <c r="R12" s="333">
        <f>IF(R$2&gt;0,P12/R$2,0)</f>
        <v/>
      </c>
      <c r="S12" s="334">
        <f>IF(R$2&gt;0,Q12/R$2,0)</f>
        <v/>
      </c>
      <c r="T12" s="330" t="n"/>
      <c r="U12" s="332">
        <f>R$2-P12</f>
        <v/>
      </c>
      <c r="V12" s="432" t="n"/>
    </row>
    <row r="13" ht="15" customHeight="1" s="1">
      <c r="A13" s="434" t="n"/>
      <c r="B13" s="130" t="n"/>
      <c r="C13" s="337" t="inlineStr">
        <is>
          <t>TTL</t>
        </is>
      </c>
      <c r="D13" s="338">
        <f>D6+D7+D8+D9+D10+D11</f>
        <v/>
      </c>
      <c r="E13" s="339">
        <f>E6+E7+E8+E9+E10+E11</f>
        <v/>
      </c>
      <c r="F13" s="338">
        <f>F6+F7+F8+F9+F10+F11</f>
        <v/>
      </c>
      <c r="G13" s="339">
        <f>G6+G7+G8+G9+G10+G11</f>
        <v/>
      </c>
      <c r="H13" s="338">
        <f>H6+H7+H8+H9+H10+H11</f>
        <v/>
      </c>
      <c r="I13" s="339">
        <f>I6+I7+I8+I9+I10+I11</f>
        <v/>
      </c>
      <c r="J13" s="338">
        <f>J6+J7+J8+J9+J10+J11</f>
        <v/>
      </c>
      <c r="K13" s="339">
        <f>K6+K7+K8+K9+K10+K11</f>
        <v/>
      </c>
      <c r="L13" s="173" t="n"/>
      <c r="M13" s="340">
        <f>M6+M7+M8+M9+M10+M11</f>
        <v/>
      </c>
      <c r="N13" s="341">
        <f>N6+N7+N8+N9+N10+N11</f>
        <v/>
      </c>
      <c r="O13" s="176">
        <f>O6+O7+O8+O9+O10+O11</f>
        <v/>
      </c>
      <c r="P13" s="340" t="n"/>
      <c r="Q13" s="341" t="n"/>
      <c r="R13" s="340" t="n"/>
      <c r="S13" s="341" t="n"/>
      <c r="T13" s="340">
        <f>$O$2-P6</f>
        <v/>
      </c>
      <c r="U13" s="332" t="n"/>
      <c r="V13" s="176" t="n"/>
    </row>
    <row r="14" ht="15" customHeight="1" s="1">
      <c r="A14" s="428" t="inlineStr">
        <is>
          <t>AEKLF</t>
        </is>
      </c>
      <c r="B14" s="127" t="n"/>
      <c r="C14" s="312" t="inlineStr">
        <is>
          <t>LILIAN</t>
        </is>
      </c>
      <c r="D14" s="429" t="n"/>
      <c r="E14" s="430" t="n"/>
      <c r="F14" s="429" t="n"/>
      <c r="G14" s="430" t="n"/>
      <c r="H14" s="429" t="n"/>
      <c r="I14" s="430" t="n"/>
      <c r="J14" s="429" t="n"/>
      <c r="K14" s="430" t="n"/>
      <c r="L14" s="315" t="n"/>
      <c r="M14" s="316">
        <f>D14+F14+H14+J14</f>
        <v/>
      </c>
      <c r="N14" s="317">
        <f>E14+G14+I14+K14</f>
        <v/>
      </c>
      <c r="O14" s="318">
        <f>M14+N14*2</f>
        <v/>
      </c>
      <c r="P14" s="316">
        <f>P6+O14+O15+O16+O17+O18+O19-(D54+E54)</f>
        <v/>
      </c>
      <c r="Q14" s="317">
        <f>Q6+O14+O15+O16+O17+O18-(D54+E54-(D51+E51*2))</f>
        <v/>
      </c>
      <c r="R14" s="319">
        <f>IF(O$2&gt;0,P14/O$2,0)</f>
        <v/>
      </c>
      <c r="S14" s="320">
        <f>IF(O$2&gt;0,Q14/O$2,0)</f>
        <v/>
      </c>
      <c r="T14" s="316" t="n"/>
      <c r="U14" s="431" t="n"/>
      <c r="V14" s="318" t="n"/>
    </row>
    <row r="15" ht="15" customHeight="1" s="1">
      <c r="A15" s="277" t="n"/>
      <c r="B15" s="127" t="n"/>
      <c r="C15" s="312" t="inlineStr">
        <is>
          <t>SUL</t>
        </is>
      </c>
      <c r="D15" s="429" t="n"/>
      <c r="E15" s="430" t="n"/>
      <c r="F15" s="429" t="n"/>
      <c r="G15" s="430" t="n"/>
      <c r="H15" s="429" t="n"/>
      <c r="I15" s="430" t="n"/>
      <c r="J15" s="429" t="n"/>
      <c r="K15" s="430" t="n"/>
      <c r="L15" s="315" t="n"/>
      <c r="M15" s="316">
        <f>D15+F15+H15+J15</f>
        <v/>
      </c>
      <c r="N15" s="317">
        <f>E15+G15+I15+K15</f>
        <v/>
      </c>
      <c r="O15" s="318">
        <f>M15+N15*2</f>
        <v/>
      </c>
      <c r="P15" s="316" t="n"/>
      <c r="Q15" s="317" t="n"/>
      <c r="R15" s="316" t="n"/>
      <c r="S15" s="317" t="n"/>
      <c r="T15" s="316" t="n"/>
      <c r="U15" s="431" t="n"/>
      <c r="V15" s="318" t="n"/>
    </row>
    <row r="16" ht="15" customHeight="1" s="1">
      <c r="A16" s="277" t="n"/>
      <c r="B16" s="127" t="n"/>
      <c r="C16" s="312" t="inlineStr">
        <is>
          <t>T/S</t>
        </is>
      </c>
      <c r="D16" s="429" t="n"/>
      <c r="E16" s="430" t="n"/>
      <c r="F16" s="429" t="n"/>
      <c r="G16" s="430" t="n"/>
      <c r="H16" s="429" t="n"/>
      <c r="I16" s="430" t="n"/>
      <c r="J16" s="429" t="n"/>
      <c r="K16" s="430" t="n"/>
      <c r="L16" s="315" t="n"/>
      <c r="M16" s="316">
        <f>D16+F16+H16+J16</f>
        <v/>
      </c>
      <c r="N16" s="317">
        <f>E16+G16+I16+K16</f>
        <v/>
      </c>
      <c r="O16" s="318">
        <f>M16+N16*2</f>
        <v/>
      </c>
      <c r="P16" s="316" t="n"/>
      <c r="Q16" s="317" t="n"/>
      <c r="R16" s="316" t="n"/>
      <c r="S16" s="317" t="n"/>
      <c r="T16" s="316" t="n"/>
      <c r="U16" s="431" t="n"/>
      <c r="V16" s="318" t="n"/>
    </row>
    <row r="17" ht="15" customHeight="1" s="1">
      <c r="A17" s="277" t="n"/>
      <c r="B17" s="127" t="n"/>
      <c r="C17" s="312" t="inlineStr">
        <is>
          <t>SOC</t>
        </is>
      </c>
      <c r="D17" s="429" t="n"/>
      <c r="E17" s="430" t="n"/>
      <c r="F17" s="429" t="n"/>
      <c r="G17" s="430" t="n"/>
      <c r="H17" s="429" t="n"/>
      <c r="I17" s="430" t="n"/>
      <c r="J17" s="429" t="n"/>
      <c r="K17" s="430" t="n"/>
      <c r="L17" s="315" t="n"/>
      <c r="M17" s="316">
        <f>D17+F17+H17+J17</f>
        <v/>
      </c>
      <c r="N17" s="317">
        <f>E17+G17+I17+K17</f>
        <v/>
      </c>
      <c r="O17" s="318">
        <f>M17+N17*2</f>
        <v/>
      </c>
      <c r="P17" s="316" t="n"/>
      <c r="Q17" s="317" t="n"/>
      <c r="R17" s="316" t="n"/>
      <c r="S17" s="317" t="n"/>
      <c r="T17" s="316" t="n"/>
      <c r="U17" s="431" t="n"/>
      <c r="V17" s="318" t="n"/>
    </row>
    <row r="18" ht="15" customHeight="1" s="1">
      <c r="A18" s="277" t="n"/>
      <c r="B18" s="127" t="n"/>
      <c r="C18" s="312" t="inlineStr">
        <is>
          <t>RF</t>
        </is>
      </c>
      <c r="D18" s="429" t="n"/>
      <c r="E18" s="430" t="n"/>
      <c r="F18" s="429" t="n"/>
      <c r="G18" s="430" t="n"/>
      <c r="H18" s="429" t="n"/>
      <c r="I18" s="430" t="n"/>
      <c r="J18" s="429" t="n"/>
      <c r="K18" s="430" t="n"/>
      <c r="L18" s="315" t="n"/>
      <c r="M18" s="316">
        <f>D18+F18+H18+J18</f>
        <v/>
      </c>
      <c r="N18" s="317">
        <f>E18+G18+I18+K18</f>
        <v/>
      </c>
      <c r="O18" s="318">
        <f>M18+N18*2</f>
        <v/>
      </c>
      <c r="P18" s="316" t="n"/>
      <c r="Q18" s="317" t="n"/>
      <c r="R18" s="316" t="n"/>
      <c r="S18" s="317" t="n"/>
      <c r="T18" s="316" t="n"/>
      <c r="U18" s="431" t="n"/>
      <c r="V18" s="318">
        <f>V10-M18-N18+D50+E50</f>
        <v/>
      </c>
    </row>
    <row r="19" ht="15" customHeight="1" s="1">
      <c r="A19" s="311" t="inlineStr">
        <is>
          <t>ETB</t>
        </is>
      </c>
      <c r="B19" s="327" t="inlineStr">
        <is>
          <t>07/22</t>
        </is>
      </c>
      <c r="C19" s="312" t="inlineStr">
        <is>
          <t>MT</t>
        </is>
      </c>
      <c r="D19" s="429" t="n"/>
      <c r="E19" s="430" t="n"/>
      <c r="F19" s="429" t="n"/>
      <c r="G19" s="430" t="n"/>
      <c r="H19" s="429" t="n"/>
      <c r="I19" s="430" t="n"/>
      <c r="J19" s="429" t="n"/>
      <c r="K19" s="430" t="n"/>
      <c r="L19" s="315" t="n"/>
      <c r="M19" s="316">
        <f>D19+F19+H19+J19</f>
        <v/>
      </c>
      <c r="N19" s="317">
        <f>E19+G19+I19+K19</f>
        <v/>
      </c>
      <c r="O19" s="318">
        <f>M19+N19*2</f>
        <v/>
      </c>
      <c r="P19" s="316" t="n"/>
      <c r="Q19" s="317" t="n"/>
      <c r="R19" s="316" t="n"/>
      <c r="S19" s="317" t="n"/>
      <c r="T19" s="316" t="n"/>
      <c r="U19" s="431" t="n"/>
      <c r="V19" s="318" t="n"/>
    </row>
    <row r="20" ht="15" customHeight="1" s="1">
      <c r="A20" s="311" t="inlineStr">
        <is>
          <t>ETD</t>
        </is>
      </c>
      <c r="B20" s="327" t="inlineStr">
        <is>
          <t>07/24</t>
        </is>
      </c>
      <c r="C20" s="312" t="inlineStr">
        <is>
          <t>Weight</t>
        </is>
      </c>
      <c r="D20" s="328" t="n"/>
      <c r="E20" s="272" t="n"/>
      <c r="F20" s="328" t="n"/>
      <c r="G20" s="272" t="n"/>
      <c r="H20" s="328" t="n"/>
      <c r="I20" s="272" t="n"/>
      <c r="J20" s="328" t="n"/>
      <c r="K20" s="272" t="n"/>
      <c r="L20" s="173" t="n"/>
      <c r="M20" s="432">
        <f>D20+F20+H20+J20</f>
        <v/>
      </c>
      <c r="N20" s="433" t="n"/>
      <c r="O20" s="432" t="n"/>
      <c r="P20" s="330">
        <f>P12+M20-(D55)</f>
        <v/>
      </c>
      <c r="Q20" s="332">
        <f>P20-(P14-Q14)*2</f>
        <v/>
      </c>
      <c r="R20" s="333">
        <f>IF(R$2&gt;0,P20/R$2,0)</f>
        <v/>
      </c>
      <c r="S20" s="334">
        <f>IF(R$2&gt;0,Q20/R$2,0)</f>
        <v/>
      </c>
      <c r="T20" s="330" t="n"/>
      <c r="U20" s="332">
        <f>R$2-P20</f>
        <v/>
      </c>
      <c r="V20" s="432" t="n"/>
    </row>
    <row r="21" ht="15" customHeight="1" s="1">
      <c r="A21" s="434" t="n"/>
      <c r="B21" s="130" t="n"/>
      <c r="C21" s="337" t="inlineStr">
        <is>
          <t>TTL</t>
        </is>
      </c>
      <c r="D21" s="338">
        <f>D14+D15+D16+D17+D18+D19</f>
        <v/>
      </c>
      <c r="E21" s="339">
        <f>E14+E15+E16+E17+E18+E19</f>
        <v/>
      </c>
      <c r="F21" s="338">
        <f>F14+F15+F16+F17+F18+F19</f>
        <v/>
      </c>
      <c r="G21" s="339">
        <f>G14+G15+G16+G17+G18+G19</f>
        <v/>
      </c>
      <c r="H21" s="338">
        <f>H14+H15+H16+H17+H18+H19</f>
        <v/>
      </c>
      <c r="I21" s="339">
        <f>I14+I15+I16+I17+I18+I19</f>
        <v/>
      </c>
      <c r="J21" s="338">
        <f>J14+J15+J16+J17+J18+J19</f>
        <v/>
      </c>
      <c r="K21" s="339">
        <f>K14+K15+K16+K17+K18+K19</f>
        <v/>
      </c>
      <c r="L21" s="173" t="n"/>
      <c r="M21" s="340">
        <f>M14+M15+M16+M17+M18+M19</f>
        <v/>
      </c>
      <c r="N21" s="341">
        <f>N14+N15+N16+N17+N18+N19</f>
        <v/>
      </c>
      <c r="O21" s="176">
        <f>O14+O15+O16+O17+O18+O19</f>
        <v/>
      </c>
      <c r="P21" s="340" t="n"/>
      <c r="Q21" s="341" t="n"/>
      <c r="R21" s="340" t="n"/>
      <c r="S21" s="341" t="n"/>
      <c r="T21" s="340">
        <f>$O$2-P14</f>
        <v/>
      </c>
      <c r="U21" s="332" t="n"/>
      <c r="V21" s="176" t="n"/>
    </row>
    <row r="22" ht="15" customHeight="1" s="1">
      <c r="A22" s="428" t="inlineStr">
        <is>
          <t>OMSOH</t>
        </is>
      </c>
      <c r="B22" s="127" t="n"/>
      <c r="C22" s="312" t="inlineStr">
        <is>
          <t>LILIAN</t>
        </is>
      </c>
      <c r="D22" s="429" t="n"/>
      <c r="E22" s="430" t="n"/>
      <c r="F22" s="429" t="n"/>
      <c r="G22" s="430" t="n"/>
      <c r="H22" s="429" t="n"/>
      <c r="I22" s="430" t="n"/>
      <c r="J22" s="429" t="n"/>
      <c r="K22" s="430" t="n"/>
      <c r="L22" s="315" t="n"/>
      <c r="M22" s="316">
        <f>D22+F22+H22+J22</f>
        <v/>
      </c>
      <c r="N22" s="317">
        <f>E22+G22+I22+K22</f>
        <v/>
      </c>
      <c r="O22" s="318">
        <f>M22+N22*2</f>
        <v/>
      </c>
      <c r="P22" s="316">
        <f>P14+O22+O23+O24+O25+O26+O27-(F54+G54)</f>
        <v/>
      </c>
      <c r="Q22" s="317">
        <f>Q14+O22+O23+O24+O25+O26-(F54+G54-(F51+G51*2))</f>
        <v/>
      </c>
      <c r="R22" s="319">
        <f>IF(O$2&gt;0,P22/O$2,0)</f>
        <v/>
      </c>
      <c r="S22" s="320">
        <f>IF(O$2&gt;0,Q22/O$2,0)</f>
        <v/>
      </c>
      <c r="T22" s="316" t="n"/>
      <c r="U22" s="431" t="n"/>
      <c r="V22" s="318" t="n"/>
    </row>
    <row r="23" ht="15" customHeight="1" s="1">
      <c r="A23" s="277" t="n"/>
      <c r="B23" s="127" t="n"/>
      <c r="C23" s="312" t="inlineStr">
        <is>
          <t>SUL</t>
        </is>
      </c>
      <c r="D23" s="429" t="n"/>
      <c r="E23" s="430" t="n"/>
      <c r="F23" s="429" t="n"/>
      <c r="G23" s="430" t="n"/>
      <c r="H23" s="429" t="n"/>
      <c r="I23" s="430" t="n"/>
      <c r="J23" s="429" t="n"/>
      <c r="K23" s="430" t="n"/>
      <c r="L23" s="315" t="n"/>
      <c r="M23" s="316">
        <f>D23+F23+H23+J23</f>
        <v/>
      </c>
      <c r="N23" s="317">
        <f>E23+G23+I23+K23</f>
        <v/>
      </c>
      <c r="O23" s="318">
        <f>M23+N23*2</f>
        <v/>
      </c>
      <c r="P23" s="316" t="n"/>
      <c r="Q23" s="317" t="n"/>
      <c r="R23" s="316" t="n"/>
      <c r="S23" s="317" t="n"/>
      <c r="T23" s="316" t="n"/>
      <c r="U23" s="431" t="n"/>
      <c r="V23" s="318" t="n"/>
    </row>
    <row r="24" ht="15" customHeight="1" s="1">
      <c r="A24" s="277" t="n"/>
      <c r="B24" s="127" t="n"/>
      <c r="C24" s="312" t="inlineStr">
        <is>
          <t>T/S</t>
        </is>
      </c>
      <c r="D24" s="429" t="n"/>
      <c r="E24" s="430" t="n"/>
      <c r="F24" s="429" t="n"/>
      <c r="G24" s="430" t="n"/>
      <c r="H24" s="429" t="n"/>
      <c r="I24" s="430" t="n"/>
      <c r="J24" s="429" t="n"/>
      <c r="K24" s="430" t="n"/>
      <c r="L24" s="315" t="n"/>
      <c r="M24" s="316">
        <f>D24+F24+H24+J24</f>
        <v/>
      </c>
      <c r="N24" s="317">
        <f>E24+G24+I24+K24</f>
        <v/>
      </c>
      <c r="O24" s="318">
        <f>M24+N24*2</f>
        <v/>
      </c>
      <c r="P24" s="316" t="n"/>
      <c r="Q24" s="317" t="n"/>
      <c r="R24" s="316" t="n"/>
      <c r="S24" s="317" t="n"/>
      <c r="T24" s="316" t="n"/>
      <c r="U24" s="431" t="n"/>
      <c r="V24" s="318" t="n"/>
    </row>
    <row r="25" ht="15" customHeight="1" s="1">
      <c r="A25" s="277" t="n"/>
      <c r="B25" s="127" t="n"/>
      <c r="C25" s="312" t="inlineStr">
        <is>
          <t>SOC</t>
        </is>
      </c>
      <c r="D25" s="429" t="n"/>
      <c r="E25" s="430" t="n"/>
      <c r="F25" s="429" t="n"/>
      <c r="G25" s="430" t="n"/>
      <c r="H25" s="429" t="n"/>
      <c r="I25" s="430" t="n"/>
      <c r="J25" s="429" t="n"/>
      <c r="K25" s="430" t="n"/>
      <c r="L25" s="315" t="n"/>
      <c r="M25" s="316">
        <f>D25+F25+H25+J25</f>
        <v/>
      </c>
      <c r="N25" s="317">
        <f>E25+G25+I25+K25</f>
        <v/>
      </c>
      <c r="O25" s="318">
        <f>M25+N25*2</f>
        <v/>
      </c>
      <c r="P25" s="316" t="n"/>
      <c r="Q25" s="317" t="n"/>
      <c r="R25" s="316" t="n"/>
      <c r="S25" s="317" t="n"/>
      <c r="T25" s="316" t="n"/>
      <c r="U25" s="431" t="n"/>
      <c r="V25" s="318" t="n"/>
    </row>
    <row r="26" ht="15" customHeight="1" s="1">
      <c r="A26" s="277" t="n"/>
      <c r="B26" s="127" t="n"/>
      <c r="C26" s="312" t="inlineStr">
        <is>
          <t>RF</t>
        </is>
      </c>
      <c r="D26" s="429" t="n"/>
      <c r="E26" s="430" t="n"/>
      <c r="F26" s="429" t="n"/>
      <c r="G26" s="430" t="n"/>
      <c r="H26" s="429" t="n"/>
      <c r="I26" s="430" t="n"/>
      <c r="J26" s="429" t="n"/>
      <c r="K26" s="430" t="n"/>
      <c r="L26" s="315" t="n"/>
      <c r="M26" s="316">
        <f>D26+F26+H26+J26</f>
        <v/>
      </c>
      <c r="N26" s="317">
        <f>E26+G26+I26+K26</f>
        <v/>
      </c>
      <c r="O26" s="318">
        <f>M26+N26*2</f>
        <v/>
      </c>
      <c r="P26" s="316" t="n"/>
      <c r="Q26" s="317" t="n"/>
      <c r="R26" s="316" t="n"/>
      <c r="S26" s="317" t="n"/>
      <c r="T26" s="316" t="n"/>
      <c r="U26" s="431" t="n"/>
      <c r="V26" s="318">
        <f>V18-M26-N26+F50+G50</f>
        <v/>
      </c>
    </row>
    <row r="27" ht="15" customHeight="1" s="1">
      <c r="A27" s="311" t="inlineStr">
        <is>
          <t>ETB</t>
        </is>
      </c>
      <c r="B27" s="327" t="inlineStr">
        <is>
          <t>07/26</t>
        </is>
      </c>
      <c r="C27" s="312" t="inlineStr">
        <is>
          <t>MT</t>
        </is>
      </c>
      <c r="D27" s="429" t="n"/>
      <c r="E27" s="430" t="n"/>
      <c r="F27" s="429" t="n"/>
      <c r="G27" s="430" t="n"/>
      <c r="H27" s="429" t="n"/>
      <c r="I27" s="430" t="n"/>
      <c r="J27" s="429" t="n"/>
      <c r="K27" s="430" t="n"/>
      <c r="L27" s="315" t="n"/>
      <c r="M27" s="316">
        <f>D27+F27+H27+J27</f>
        <v/>
      </c>
      <c r="N27" s="317">
        <f>E27+G27+I27+K27</f>
        <v/>
      </c>
      <c r="O27" s="318">
        <f>M27+N27*2</f>
        <v/>
      </c>
      <c r="P27" s="316" t="n"/>
      <c r="Q27" s="317" t="n"/>
      <c r="R27" s="316" t="n"/>
      <c r="S27" s="317" t="n"/>
      <c r="T27" s="316" t="n"/>
      <c r="U27" s="431" t="n"/>
      <c r="V27" s="318" t="n"/>
    </row>
    <row r="28" ht="15" customHeight="1" s="1">
      <c r="A28" s="311" t="inlineStr">
        <is>
          <t>ETD</t>
        </is>
      </c>
      <c r="B28" s="327" t="inlineStr">
        <is>
          <t>07/27</t>
        </is>
      </c>
      <c r="C28" s="312" t="inlineStr">
        <is>
          <t>Weight</t>
        </is>
      </c>
      <c r="D28" s="328" t="n"/>
      <c r="E28" s="272" t="n"/>
      <c r="F28" s="328" t="n"/>
      <c r="G28" s="272" t="n"/>
      <c r="H28" s="328" t="n"/>
      <c r="I28" s="272" t="n"/>
      <c r="J28" s="328" t="n"/>
      <c r="K28" s="272" t="n"/>
      <c r="L28" s="173" t="n"/>
      <c r="M28" s="432">
        <f>D28+F28+H28+J28</f>
        <v/>
      </c>
      <c r="N28" s="433" t="n"/>
      <c r="O28" s="432" t="n"/>
      <c r="P28" s="330">
        <f>P20+M28-(F55)</f>
        <v/>
      </c>
      <c r="Q28" s="332">
        <f>P28-(P22-Q22)*2</f>
        <v/>
      </c>
      <c r="R28" s="333">
        <f>IF(R$2&gt;0,P28/R$2,0)</f>
        <v/>
      </c>
      <c r="S28" s="334">
        <f>IF(R$2&gt;0,Q28/R$2,0)</f>
        <v/>
      </c>
      <c r="T28" s="330" t="n"/>
      <c r="U28" s="332">
        <f>R$2-P28</f>
        <v/>
      </c>
      <c r="V28" s="432" t="n"/>
    </row>
    <row r="29" ht="15" customHeight="1" s="1">
      <c r="A29" s="434" t="n"/>
      <c r="B29" s="130" t="n"/>
      <c r="C29" s="337" t="inlineStr">
        <is>
          <t>TTL</t>
        </is>
      </c>
      <c r="D29" s="338">
        <f>D22+D23+D24+D25+D26+D27</f>
        <v/>
      </c>
      <c r="E29" s="339">
        <f>E22+E23+E24+E25+E26+E27</f>
        <v/>
      </c>
      <c r="F29" s="338">
        <f>F22+F23+F24+F25+F26+F27</f>
        <v/>
      </c>
      <c r="G29" s="339">
        <f>G22+G23+G24+G25+G26+G27</f>
        <v/>
      </c>
      <c r="H29" s="338">
        <f>H22+H23+H24+H25+H26+H27</f>
        <v/>
      </c>
      <c r="I29" s="339">
        <f>I22+I23+I24+I25+I26+I27</f>
        <v/>
      </c>
      <c r="J29" s="338">
        <f>J22+J23+J24+J25+J26+J27</f>
        <v/>
      </c>
      <c r="K29" s="339">
        <f>K22+K23+K24+K25+K26+K27</f>
        <v/>
      </c>
      <c r="L29" s="173" t="n"/>
      <c r="M29" s="340">
        <f>M22+M23+M24+M25+M26+M27</f>
        <v/>
      </c>
      <c r="N29" s="341">
        <f>N22+N23+N24+N25+N26+N27</f>
        <v/>
      </c>
      <c r="O29" s="176">
        <f>O22+O23+O24+O25+O26+O27</f>
        <v/>
      </c>
      <c r="P29" s="340" t="n"/>
      <c r="Q29" s="341" t="n"/>
      <c r="R29" s="340" t="n"/>
      <c r="S29" s="341" t="n"/>
      <c r="T29" s="340">
        <f>$O$2-P22</f>
        <v/>
      </c>
      <c r="U29" s="332" t="n"/>
      <c r="V29" s="176" t="n"/>
    </row>
    <row r="30" ht="15" customHeight="1" s="1">
      <c r="A30" s="428" t="inlineStr">
        <is>
          <t>PKKHI</t>
        </is>
      </c>
      <c r="B30" s="127" t="n"/>
      <c r="C30" s="312" t="inlineStr">
        <is>
          <t>LILIAN</t>
        </is>
      </c>
      <c r="D30" s="429" t="n"/>
      <c r="E30" s="430" t="n"/>
      <c r="F30" s="429" t="n"/>
      <c r="G30" s="430" t="n"/>
      <c r="H30" s="429" t="n"/>
      <c r="I30" s="430" t="n"/>
      <c r="J30" s="429" t="n"/>
      <c r="K30" s="430" t="n"/>
      <c r="L30" s="315" t="n"/>
      <c r="M30" s="316">
        <f>D30+F30+H30+J30</f>
        <v/>
      </c>
      <c r="N30" s="317">
        <f>E30+G30+I30+K30</f>
        <v/>
      </c>
      <c r="O30" s="318">
        <f>M30+N30*2</f>
        <v/>
      </c>
      <c r="P30" s="316">
        <f>P22+O30+O31+O32+O33+O34+O35-(H54+I54)</f>
        <v/>
      </c>
      <c r="Q30" s="317">
        <f>Q22+O30+O31+O32+O33+O34-(H54+I54-(H51+I51*2))</f>
        <v/>
      </c>
      <c r="R30" s="319">
        <f>IF(O$2&gt;0,P30/O$2,0)</f>
        <v/>
      </c>
      <c r="S30" s="320">
        <f>IF(O$2&gt;0,Q30/O$2,0)</f>
        <v/>
      </c>
      <c r="T30" s="316" t="n"/>
      <c r="U30" s="431" t="n"/>
      <c r="V30" s="318" t="n"/>
    </row>
    <row r="31" ht="15" customHeight="1" s="1">
      <c r="A31" s="277" t="n"/>
      <c r="B31" s="127" t="n"/>
      <c r="C31" s="312" t="inlineStr">
        <is>
          <t>SUL</t>
        </is>
      </c>
      <c r="D31" s="429" t="n"/>
      <c r="E31" s="430" t="n"/>
      <c r="F31" s="429" t="n"/>
      <c r="G31" s="430" t="n"/>
      <c r="H31" s="429" t="n"/>
      <c r="I31" s="430" t="n"/>
      <c r="J31" s="429" t="n"/>
      <c r="K31" s="430" t="n"/>
      <c r="L31" s="315" t="n"/>
      <c r="M31" s="316">
        <f>D31+F31+H31+J31</f>
        <v/>
      </c>
      <c r="N31" s="317">
        <f>E31+G31+I31+K31</f>
        <v/>
      </c>
      <c r="O31" s="318">
        <f>M31+N31*2</f>
        <v/>
      </c>
      <c r="P31" s="316" t="n"/>
      <c r="Q31" s="317" t="n"/>
      <c r="R31" s="316" t="n"/>
      <c r="S31" s="317" t="n"/>
      <c r="T31" s="316" t="n"/>
      <c r="U31" s="431" t="n"/>
      <c r="V31" s="318" t="n"/>
    </row>
    <row r="32" ht="15" customHeight="1" s="1">
      <c r="A32" s="277" t="n"/>
      <c r="B32" s="127" t="n"/>
      <c r="C32" s="312" t="inlineStr">
        <is>
          <t>T/S</t>
        </is>
      </c>
      <c r="D32" s="429" t="n"/>
      <c r="E32" s="430" t="n"/>
      <c r="F32" s="429" t="n"/>
      <c r="G32" s="430" t="n"/>
      <c r="H32" s="429" t="n"/>
      <c r="I32" s="430" t="n"/>
      <c r="J32" s="429" t="n"/>
      <c r="K32" s="430" t="n"/>
      <c r="L32" s="315" t="n"/>
      <c r="M32" s="316">
        <f>D32+F32+H32+J32</f>
        <v/>
      </c>
      <c r="N32" s="317">
        <f>E32+G32+I32+K32</f>
        <v/>
      </c>
      <c r="O32" s="318">
        <f>M32+N32*2</f>
        <v/>
      </c>
      <c r="P32" s="316" t="n"/>
      <c r="Q32" s="317" t="n"/>
      <c r="R32" s="316" t="n"/>
      <c r="S32" s="317" t="n"/>
      <c r="T32" s="316" t="n"/>
      <c r="U32" s="431" t="n"/>
      <c r="V32" s="318" t="n"/>
    </row>
    <row r="33" ht="15" customHeight="1" s="1">
      <c r="A33" s="277" t="n"/>
      <c r="B33" s="127" t="n"/>
      <c r="C33" s="312" t="inlineStr">
        <is>
          <t>SOC</t>
        </is>
      </c>
      <c r="D33" s="429" t="n"/>
      <c r="E33" s="430" t="n"/>
      <c r="F33" s="429" t="n"/>
      <c r="G33" s="430" t="n"/>
      <c r="H33" s="429" t="n"/>
      <c r="I33" s="430" t="n"/>
      <c r="J33" s="429" t="n"/>
      <c r="K33" s="430" t="n"/>
      <c r="L33" s="315" t="n"/>
      <c r="M33" s="316">
        <f>D33+F33+H33+J33</f>
        <v/>
      </c>
      <c r="N33" s="317">
        <f>E33+G33+I33+K33</f>
        <v/>
      </c>
      <c r="O33" s="318">
        <f>M33+N33*2</f>
        <v/>
      </c>
      <c r="P33" s="316" t="n"/>
      <c r="Q33" s="317" t="n"/>
      <c r="R33" s="316" t="n"/>
      <c r="S33" s="317" t="n"/>
      <c r="T33" s="316" t="n"/>
      <c r="U33" s="431" t="n"/>
      <c r="V33" s="318" t="n"/>
    </row>
    <row r="34" ht="15" customHeight="1" s="1">
      <c r="A34" s="277" t="n"/>
      <c r="B34" s="127" t="n"/>
      <c r="C34" s="312" t="inlineStr">
        <is>
          <t>RF</t>
        </is>
      </c>
      <c r="D34" s="429" t="n"/>
      <c r="E34" s="430" t="n"/>
      <c r="F34" s="429" t="n"/>
      <c r="G34" s="430" t="n"/>
      <c r="H34" s="429" t="n"/>
      <c r="I34" s="430" t="n"/>
      <c r="J34" s="429" t="n"/>
      <c r="K34" s="430" t="n"/>
      <c r="L34" s="315" t="n"/>
      <c r="M34" s="316">
        <f>D34+F34+H34+J34</f>
        <v/>
      </c>
      <c r="N34" s="317">
        <f>E34+G34+I34+K34</f>
        <v/>
      </c>
      <c r="O34" s="318">
        <f>M34+N34*2</f>
        <v/>
      </c>
      <c r="P34" s="316" t="n"/>
      <c r="Q34" s="317" t="n"/>
      <c r="R34" s="316" t="n"/>
      <c r="S34" s="317" t="n"/>
      <c r="T34" s="316" t="n"/>
      <c r="U34" s="431" t="n"/>
      <c r="V34" s="318">
        <f>V26-M34-N34+H50+I50</f>
        <v/>
      </c>
    </row>
    <row r="35" ht="15" customHeight="1" s="1">
      <c r="A35" s="311" t="inlineStr">
        <is>
          <t>ETB</t>
        </is>
      </c>
      <c r="B35" s="327" t="inlineStr">
        <is>
          <t>07/30</t>
        </is>
      </c>
      <c r="C35" s="312" t="inlineStr">
        <is>
          <t>MT</t>
        </is>
      </c>
      <c r="D35" s="429" t="n"/>
      <c r="E35" s="430" t="n"/>
      <c r="F35" s="429" t="n"/>
      <c r="G35" s="430" t="n"/>
      <c r="H35" s="429" t="n"/>
      <c r="I35" s="430" t="n"/>
      <c r="J35" s="429" t="n"/>
      <c r="K35" s="430" t="n"/>
      <c r="L35" s="315" t="n"/>
      <c r="M35" s="316">
        <f>D35+F35+H35+J35</f>
        <v/>
      </c>
      <c r="N35" s="317">
        <f>E35+G35+I35+K35</f>
        <v/>
      </c>
      <c r="O35" s="318">
        <f>M35+N35*2</f>
        <v/>
      </c>
      <c r="P35" s="316" t="n"/>
      <c r="Q35" s="317" t="n"/>
      <c r="R35" s="316" t="n"/>
      <c r="S35" s="317" t="n"/>
      <c r="T35" s="316" t="n"/>
      <c r="U35" s="431" t="n"/>
      <c r="V35" s="318" t="n"/>
    </row>
    <row r="36" ht="15" customHeight="1" s="1">
      <c r="A36" s="311" t="inlineStr">
        <is>
          <t>ETD</t>
        </is>
      </c>
      <c r="B36" s="327" t="inlineStr">
        <is>
          <t>08/01</t>
        </is>
      </c>
      <c r="C36" s="312" t="inlineStr">
        <is>
          <t>Weight</t>
        </is>
      </c>
      <c r="D36" s="328" t="n"/>
      <c r="E36" s="272" t="n"/>
      <c r="F36" s="328" t="n"/>
      <c r="G36" s="272" t="n"/>
      <c r="H36" s="328" t="n"/>
      <c r="I36" s="272" t="n"/>
      <c r="J36" s="328" t="n"/>
      <c r="K36" s="272" t="n"/>
      <c r="L36" s="173" t="n"/>
      <c r="M36" s="432">
        <f>D36+F36+H36+J36</f>
        <v/>
      </c>
      <c r="N36" s="433" t="n"/>
      <c r="O36" s="432" t="n"/>
      <c r="P36" s="330">
        <f>P28+M36-(H55)</f>
        <v/>
      </c>
      <c r="Q36" s="332">
        <f>P36-(P30-Q30)*2</f>
        <v/>
      </c>
      <c r="R36" s="333">
        <f>IF(R$2&gt;0,P36/R$2,0)</f>
        <v/>
      </c>
      <c r="S36" s="334">
        <f>IF(R$2&gt;0,Q36/R$2,0)</f>
        <v/>
      </c>
      <c r="T36" s="330" t="n"/>
      <c r="U36" s="332">
        <f>R$2-P36</f>
        <v/>
      </c>
      <c r="V36" s="432" t="n"/>
    </row>
    <row r="37" ht="15" customHeight="1" s="1">
      <c r="A37" s="434" t="n"/>
      <c r="B37" s="130" t="n"/>
      <c r="C37" s="337" t="inlineStr">
        <is>
          <t>TTL</t>
        </is>
      </c>
      <c r="D37" s="338">
        <f>D30+D31+D32+D33+D34+D35</f>
        <v/>
      </c>
      <c r="E37" s="339">
        <f>E30+E31+E32+E33+E34+E35</f>
        <v/>
      </c>
      <c r="F37" s="338">
        <f>F30+F31+F32+F33+F34+F35</f>
        <v/>
      </c>
      <c r="G37" s="339">
        <f>G30+G31+G32+G33+G34+G35</f>
        <v/>
      </c>
      <c r="H37" s="338">
        <f>H30+H31+H32+H33+H34+H35</f>
        <v/>
      </c>
      <c r="I37" s="339">
        <f>I30+I31+I32+I33+I34+I35</f>
        <v/>
      </c>
      <c r="J37" s="338">
        <f>J30+J31+J32+J33+J34+J35</f>
        <v/>
      </c>
      <c r="K37" s="339">
        <f>K30+K31+K32+K33+K34+K35</f>
        <v/>
      </c>
      <c r="L37" s="173" t="n"/>
      <c r="M37" s="340">
        <f>M30+M31+M32+M33+M34+M35</f>
        <v/>
      </c>
      <c r="N37" s="341">
        <f>N30+N31+N32+N33+N34+N35</f>
        <v/>
      </c>
      <c r="O37" s="176">
        <f>O30+O31+O32+O33+O34+O35</f>
        <v/>
      </c>
      <c r="P37" s="340" t="n"/>
      <c r="Q37" s="341" t="n"/>
      <c r="R37" s="340" t="n"/>
      <c r="S37" s="341" t="n"/>
      <c r="T37" s="340">
        <f>$O$2-P30</f>
        <v/>
      </c>
      <c r="U37" s="332" t="n"/>
      <c r="V37" s="176" t="n"/>
    </row>
    <row r="38" ht="15" customHeight="1" s="1">
      <c r="A38" s="428" t="inlineStr">
        <is>
          <t>CNTAO</t>
        </is>
      </c>
      <c r="B38" s="127" t="n"/>
      <c r="C38" s="312" t="inlineStr">
        <is>
          <t>LILIAN</t>
        </is>
      </c>
      <c r="D38" s="429" t="n"/>
      <c r="E38" s="430" t="n"/>
      <c r="F38" s="429" t="n"/>
      <c r="G38" s="430" t="n"/>
      <c r="H38" s="429" t="n"/>
      <c r="I38" s="430" t="n"/>
      <c r="J38" s="429" t="n"/>
      <c r="K38" s="430" t="n"/>
      <c r="L38" s="315" t="n"/>
      <c r="M38" s="316">
        <f>D38+F38+H38+J38</f>
        <v/>
      </c>
      <c r="N38" s="317">
        <f>E38+G38+I38+K38</f>
        <v/>
      </c>
      <c r="O38" s="318">
        <f>M38+N38*2</f>
        <v/>
      </c>
      <c r="P38" s="316">
        <f>P30+O38+O39+O40+O41+O42+O43-(J54+K54)</f>
        <v/>
      </c>
      <c r="Q38" s="317">
        <f>Q30+O38+O39+O40+O41+O42-(J54+K54-(J51+K51*2))</f>
        <v/>
      </c>
      <c r="R38" s="319">
        <f>IF(O$2&gt;0,P38/O$2,0)</f>
        <v/>
      </c>
      <c r="S38" s="320">
        <f>IF(O$2&gt;0,Q38/O$2,0)</f>
        <v/>
      </c>
      <c r="T38" s="316" t="n"/>
      <c r="U38" s="431" t="n"/>
      <c r="V38" s="318" t="n"/>
    </row>
    <row r="39" ht="15" customHeight="1" s="1">
      <c r="A39" s="277" t="n"/>
      <c r="B39" s="127" t="n"/>
      <c r="C39" s="312" t="inlineStr">
        <is>
          <t>SUL</t>
        </is>
      </c>
      <c r="D39" s="429" t="n"/>
      <c r="E39" s="430" t="n"/>
      <c r="F39" s="429" t="n"/>
      <c r="G39" s="430" t="n"/>
      <c r="H39" s="429" t="n"/>
      <c r="I39" s="430" t="n"/>
      <c r="J39" s="429" t="n"/>
      <c r="K39" s="430" t="n"/>
      <c r="L39" s="315" t="n"/>
      <c r="M39" s="316">
        <f>D39+F39+H39+J39</f>
        <v/>
      </c>
      <c r="N39" s="317">
        <f>E39+G39+I39+K39</f>
        <v/>
      </c>
      <c r="O39" s="318">
        <f>M39+N39*2</f>
        <v/>
      </c>
      <c r="P39" s="316" t="n"/>
      <c r="Q39" s="317" t="n"/>
      <c r="R39" s="316" t="n"/>
      <c r="S39" s="317" t="n"/>
      <c r="T39" s="316" t="n"/>
      <c r="U39" s="431" t="n"/>
      <c r="V39" s="318" t="n"/>
    </row>
    <row r="40" ht="15" customHeight="1" s="1">
      <c r="A40" s="277" t="n"/>
      <c r="B40" s="127" t="n"/>
      <c r="C40" s="312" t="inlineStr">
        <is>
          <t>T/S</t>
        </is>
      </c>
      <c r="D40" s="429" t="n"/>
      <c r="E40" s="430" t="n"/>
      <c r="F40" s="429" t="n"/>
      <c r="G40" s="430" t="n"/>
      <c r="H40" s="429" t="n"/>
      <c r="I40" s="430" t="n"/>
      <c r="J40" s="429" t="n"/>
      <c r="K40" s="430" t="n"/>
      <c r="L40" s="315" t="n"/>
      <c r="M40" s="316">
        <f>D40+F40+H40+J40</f>
        <v/>
      </c>
      <c r="N40" s="317">
        <f>E40+G40+I40+K40</f>
        <v/>
      </c>
      <c r="O40" s="318">
        <f>M40+N40*2</f>
        <v/>
      </c>
      <c r="P40" s="316" t="n"/>
      <c r="Q40" s="317" t="n"/>
      <c r="R40" s="316" t="n"/>
      <c r="S40" s="317" t="n"/>
      <c r="T40" s="316" t="n"/>
      <c r="U40" s="431" t="n"/>
      <c r="V40" s="318" t="n"/>
    </row>
    <row r="41" ht="15" customHeight="1" s="1">
      <c r="A41" s="277" t="n"/>
      <c r="B41" s="127" t="n"/>
      <c r="C41" s="312" t="inlineStr">
        <is>
          <t>SOC</t>
        </is>
      </c>
      <c r="D41" s="429" t="n"/>
      <c r="E41" s="430" t="n"/>
      <c r="F41" s="429" t="n"/>
      <c r="G41" s="430" t="n"/>
      <c r="H41" s="429" t="n"/>
      <c r="I41" s="430" t="n"/>
      <c r="J41" s="429" t="n"/>
      <c r="K41" s="430" t="n"/>
      <c r="L41" s="315" t="n"/>
      <c r="M41" s="316">
        <f>D41+F41+H41+J41</f>
        <v/>
      </c>
      <c r="N41" s="317">
        <f>E41+G41+I41+K41</f>
        <v/>
      </c>
      <c r="O41" s="318">
        <f>M41+N41*2</f>
        <v/>
      </c>
      <c r="P41" s="316" t="n"/>
      <c r="Q41" s="317" t="n"/>
      <c r="R41" s="316" t="n"/>
      <c r="S41" s="317" t="n"/>
      <c r="T41" s="316" t="n"/>
      <c r="U41" s="431" t="n"/>
      <c r="V41" s="318" t="n"/>
    </row>
    <row r="42" ht="15" customHeight="1" s="1">
      <c r="A42" s="277" t="n"/>
      <c r="B42" s="127" t="n"/>
      <c r="C42" s="312" t="inlineStr">
        <is>
          <t>RF</t>
        </is>
      </c>
      <c r="D42" s="429" t="n"/>
      <c r="E42" s="430" t="n"/>
      <c r="F42" s="429" t="n"/>
      <c r="G42" s="430" t="n"/>
      <c r="H42" s="429" t="n"/>
      <c r="I42" s="430" t="n"/>
      <c r="J42" s="429" t="n"/>
      <c r="K42" s="430" t="n"/>
      <c r="L42" s="315" t="n"/>
      <c r="M42" s="316">
        <f>D42+F42+H42+J42</f>
        <v/>
      </c>
      <c r="N42" s="317">
        <f>E42+G42+I42+K42</f>
        <v/>
      </c>
      <c r="O42" s="318">
        <f>M42+N42*2</f>
        <v/>
      </c>
      <c r="P42" s="316" t="n"/>
      <c r="Q42" s="317" t="n"/>
      <c r="R42" s="316" t="n"/>
      <c r="S42" s="317" t="n"/>
      <c r="T42" s="316" t="n"/>
      <c r="U42" s="431" t="n"/>
      <c r="V42" s="318">
        <f>V34-M42-N42+J50+K50</f>
        <v/>
      </c>
    </row>
    <row r="43" ht="15" customHeight="1" s="1">
      <c r="A43" s="311" t="inlineStr">
        <is>
          <t>ETB</t>
        </is>
      </c>
      <c r="B43" s="327" t="inlineStr">
        <is>
          <t>08/15</t>
        </is>
      </c>
      <c r="C43" s="312" t="inlineStr">
        <is>
          <t>MT</t>
        </is>
      </c>
      <c r="D43" s="429" t="n"/>
      <c r="E43" s="430" t="n"/>
      <c r="F43" s="429" t="n"/>
      <c r="G43" s="430" t="n"/>
      <c r="H43" s="429" t="n"/>
      <c r="I43" s="430" t="n"/>
      <c r="J43" s="429" t="n"/>
      <c r="K43" s="430" t="n"/>
      <c r="L43" s="315" t="n"/>
      <c r="M43" s="316">
        <f>D43+F43+H43+J43</f>
        <v/>
      </c>
      <c r="N43" s="317">
        <f>E43+G43+I43+K43</f>
        <v/>
      </c>
      <c r="O43" s="318">
        <f>M43+N43*2</f>
        <v/>
      </c>
      <c r="P43" s="316" t="n"/>
      <c r="Q43" s="317" t="n"/>
      <c r="R43" s="316" t="n"/>
      <c r="S43" s="317" t="n"/>
      <c r="T43" s="316" t="n"/>
      <c r="U43" s="431" t="n"/>
      <c r="V43" s="318" t="n"/>
    </row>
    <row r="44" ht="15" customHeight="1" s="1">
      <c r="A44" s="311" t="inlineStr">
        <is>
          <t>ETD</t>
        </is>
      </c>
      <c r="B44" s="327" t="inlineStr">
        <is>
          <t>08/16</t>
        </is>
      </c>
      <c r="C44" s="312" t="inlineStr">
        <is>
          <t>Weight</t>
        </is>
      </c>
      <c r="D44" s="328" t="n"/>
      <c r="E44" s="272" t="n"/>
      <c r="F44" s="328" t="n"/>
      <c r="G44" s="272" t="n"/>
      <c r="H44" s="328" t="n"/>
      <c r="I44" s="272" t="n"/>
      <c r="J44" s="328" t="n"/>
      <c r="K44" s="272" t="n"/>
      <c r="L44" s="173" t="n"/>
      <c r="M44" s="432">
        <f>D44+F44+H44+J44</f>
        <v/>
      </c>
      <c r="N44" s="433" t="n"/>
      <c r="O44" s="432" t="n"/>
      <c r="P44" s="330">
        <f>P36+M44-(J55)</f>
        <v/>
      </c>
      <c r="Q44" s="332">
        <f>P44-(P38-Q38)*2</f>
        <v/>
      </c>
      <c r="R44" s="333">
        <f>IF(R$2&gt;0,P44/R$2,0)</f>
        <v/>
      </c>
      <c r="S44" s="334">
        <f>IF(R$2&gt;0,Q44/R$2,0)</f>
        <v/>
      </c>
      <c r="T44" s="330" t="n"/>
      <c r="U44" s="332">
        <f>R$2-P44</f>
        <v/>
      </c>
      <c r="V44" s="432" t="n"/>
    </row>
    <row r="45" ht="15" customHeight="1" s="1">
      <c r="A45" s="434" t="n"/>
      <c r="B45" s="130" t="n"/>
      <c r="C45" s="337" t="inlineStr">
        <is>
          <t>TTL</t>
        </is>
      </c>
      <c r="D45" s="338">
        <f>D38+D39+D40+D41+D42+D43</f>
        <v/>
      </c>
      <c r="E45" s="339">
        <f>E38+E39+E40+E41+E42+E43</f>
        <v/>
      </c>
      <c r="F45" s="338">
        <f>F38+F39+F40+F41+F42+F43</f>
        <v/>
      </c>
      <c r="G45" s="339">
        <f>G38+G39+G40+G41+G42+G43</f>
        <v/>
      </c>
      <c r="H45" s="338">
        <f>H38+H39+H40+H41+H42+H43</f>
        <v/>
      </c>
      <c r="I45" s="339">
        <f>I38+I39+I40+I41+I42+I43</f>
        <v/>
      </c>
      <c r="J45" s="338">
        <f>J38+J39+J40+J41+J42+J43</f>
        <v/>
      </c>
      <c r="K45" s="339">
        <f>K38+K39+K40+K41+K42+K43</f>
        <v/>
      </c>
      <c r="L45" s="173" t="n"/>
      <c r="M45" s="340">
        <f>M38+M39+M40+M41+M42+M43</f>
        <v/>
      </c>
      <c r="N45" s="341">
        <f>N38+N39+N40+N41+N42+N43</f>
        <v/>
      </c>
      <c r="O45" s="176">
        <f>O38+O39+O40+O41+O42+O43</f>
        <v/>
      </c>
      <c r="P45" s="340" t="n"/>
      <c r="Q45" s="341" t="n"/>
      <c r="R45" s="340" t="n"/>
      <c r="S45" s="341" t="n"/>
      <c r="T45" s="340">
        <f>$O$2-P38</f>
        <v/>
      </c>
      <c r="U45" s="332" t="n"/>
      <c r="V45" s="176" t="n"/>
    </row>
    <row r="46" ht="15" customHeight="1" s="1">
      <c r="A46" s="435" t="inlineStr">
        <is>
          <t>TOTAL</t>
        </is>
      </c>
      <c r="B46" s="127" t="n"/>
      <c r="C46" s="347" t="inlineStr">
        <is>
          <t>LILIAN</t>
        </is>
      </c>
      <c r="D46" s="348">
        <f>D6+D14+D22+D30+D38</f>
        <v/>
      </c>
      <c r="E46" s="349">
        <f>E6+E14+E22+E30+E38</f>
        <v/>
      </c>
      <c r="F46" s="348">
        <f>F6+F14+F22+F30+F38</f>
        <v/>
      </c>
      <c r="G46" s="349">
        <f>G6+G14+G22+G30+G38</f>
        <v/>
      </c>
      <c r="H46" s="348">
        <f>H6+H14+H22+H30+H38</f>
        <v/>
      </c>
      <c r="I46" s="349">
        <f>I6+I14+I22+I30+I38</f>
        <v/>
      </c>
      <c r="J46" s="348">
        <f>J6+J14+J22+J30+J38</f>
        <v/>
      </c>
      <c r="K46" s="349">
        <f>K6+K14+K22+K30+K38</f>
        <v/>
      </c>
      <c r="L46" s="350" t="n"/>
      <c r="M46" s="351">
        <f>D46+F46+H46+J46</f>
        <v/>
      </c>
      <c r="N46" s="352">
        <f>E46+G46+I46+K46</f>
        <v/>
      </c>
      <c r="O46" s="353">
        <f>M46+N46*2</f>
        <v/>
      </c>
      <c r="P46" s="351" t="n"/>
      <c r="Q46" s="352" t="n"/>
      <c r="R46" s="351" t="n"/>
      <c r="S46" s="352" t="n"/>
      <c r="T46" s="351" t="n"/>
      <c r="U46" s="436" t="n"/>
      <c r="V46" s="353" t="n"/>
    </row>
    <row r="47" ht="15" customHeight="1" s="1">
      <c r="A47" s="277" t="n"/>
      <c r="B47" s="127" t="n"/>
      <c r="C47" s="347" t="inlineStr">
        <is>
          <t>SUL</t>
        </is>
      </c>
      <c r="D47" s="348">
        <f>D7+D15+D23+D31+D39</f>
        <v/>
      </c>
      <c r="E47" s="349">
        <f>E7+E15+E23+E31+E39</f>
        <v/>
      </c>
      <c r="F47" s="348">
        <f>F7+F15+F23+F31+F39</f>
        <v/>
      </c>
      <c r="G47" s="349">
        <f>G7+G15+G23+G31+G39</f>
        <v/>
      </c>
      <c r="H47" s="348">
        <f>H7+H15+H23+H31+H39</f>
        <v/>
      </c>
      <c r="I47" s="349">
        <f>I7+I15+I23+I31+I39</f>
        <v/>
      </c>
      <c r="J47" s="348">
        <f>J7+J15+J23+J31+J39</f>
        <v/>
      </c>
      <c r="K47" s="349">
        <f>K7+K15+K23+K31+K39</f>
        <v/>
      </c>
      <c r="L47" s="350" t="n"/>
      <c r="M47" s="351">
        <f>D47+F47+H47+J47</f>
        <v/>
      </c>
      <c r="N47" s="352">
        <f>E47+G47+I47+K47</f>
        <v/>
      </c>
      <c r="O47" s="353">
        <f>M47+N47*2</f>
        <v/>
      </c>
      <c r="P47" s="351" t="n"/>
      <c r="Q47" s="352" t="n"/>
      <c r="R47" s="351" t="n"/>
      <c r="S47" s="352" t="n"/>
      <c r="T47" s="351" t="n"/>
      <c r="U47" s="436" t="n"/>
      <c r="V47" s="353" t="n"/>
    </row>
    <row r="48" ht="15" customHeight="1" s="1">
      <c r="A48" s="277" t="n"/>
      <c r="B48" s="127" t="n"/>
      <c r="C48" s="347" t="inlineStr">
        <is>
          <t>T/S</t>
        </is>
      </c>
      <c r="D48" s="348">
        <f>D8+D16+D24+D32+D40</f>
        <v/>
      </c>
      <c r="E48" s="349">
        <f>E8+E16+E24+E32+E40</f>
        <v/>
      </c>
      <c r="F48" s="348">
        <f>F8+F16+F24+F32+F40</f>
        <v/>
      </c>
      <c r="G48" s="349">
        <f>G8+G16+G24+G32+G40</f>
        <v/>
      </c>
      <c r="H48" s="348">
        <f>H8+H16+H24+H32+H40</f>
        <v/>
      </c>
      <c r="I48" s="349">
        <f>I8+I16+I24+I32+I40</f>
        <v/>
      </c>
      <c r="J48" s="348">
        <f>J8+J16+J24+J32+J40</f>
        <v/>
      </c>
      <c r="K48" s="349">
        <f>K8+K16+K24+K32+K40</f>
        <v/>
      </c>
      <c r="L48" s="350" t="n"/>
      <c r="M48" s="351">
        <f>D48+F48+H48+J48</f>
        <v/>
      </c>
      <c r="N48" s="352">
        <f>E48+G48+I48+K48</f>
        <v/>
      </c>
      <c r="O48" s="353">
        <f>M48+N48*2</f>
        <v/>
      </c>
      <c r="P48" s="351" t="n"/>
      <c r="Q48" s="352" t="n"/>
      <c r="R48" s="351" t="n"/>
      <c r="S48" s="352" t="n"/>
      <c r="T48" s="351" t="n"/>
      <c r="U48" s="436" t="n"/>
      <c r="V48" s="353" t="n"/>
    </row>
    <row r="49" ht="15" customHeight="1" s="1">
      <c r="A49" s="277" t="n"/>
      <c r="B49" s="127" t="n"/>
      <c r="C49" s="347" t="inlineStr">
        <is>
          <t>SOC</t>
        </is>
      </c>
      <c r="D49" s="348">
        <f>D9+D17+D25+D33+D41</f>
        <v/>
      </c>
      <c r="E49" s="349">
        <f>E9+E17+E25+E33+E41</f>
        <v/>
      </c>
      <c r="F49" s="348">
        <f>F9+F17+F25+F33+F41</f>
        <v/>
      </c>
      <c r="G49" s="349">
        <f>G9+G17+G25+G33+G41</f>
        <v/>
      </c>
      <c r="H49" s="348">
        <f>H9+H17+H25+H33+H41</f>
        <v/>
      </c>
      <c r="I49" s="349">
        <f>I9+I17+I25+I33+I41</f>
        <v/>
      </c>
      <c r="J49" s="348">
        <f>J9+J17+J25+J33+J41</f>
        <v/>
      </c>
      <c r="K49" s="349">
        <f>K9+K17+K25+K33+K41</f>
        <v/>
      </c>
      <c r="L49" s="350" t="n"/>
      <c r="M49" s="351">
        <f>D49+F49+H49+J49</f>
        <v/>
      </c>
      <c r="N49" s="352">
        <f>E49+G49+I49+K49</f>
        <v/>
      </c>
      <c r="O49" s="353">
        <f>M49+N49*2</f>
        <v/>
      </c>
      <c r="P49" s="351" t="n"/>
      <c r="Q49" s="352" t="n"/>
      <c r="R49" s="351" t="n"/>
      <c r="S49" s="352" t="n"/>
      <c r="T49" s="351" t="n"/>
      <c r="U49" s="436" t="n"/>
      <c r="V49" s="353" t="n"/>
    </row>
    <row r="50" ht="15" customHeight="1" s="1">
      <c r="A50" s="277" t="n"/>
      <c r="B50" s="127" t="n"/>
      <c r="C50" s="347" t="inlineStr">
        <is>
          <t>RF</t>
        </is>
      </c>
      <c r="D50" s="348">
        <f>D10+D18+D26+D34+D42</f>
        <v/>
      </c>
      <c r="E50" s="349">
        <f>E10+E18+E26+E34+E42</f>
        <v/>
      </c>
      <c r="F50" s="348">
        <f>F10+F18+F26+F34+F42</f>
        <v/>
      </c>
      <c r="G50" s="349">
        <f>G10+G18+G26+G34+G42</f>
        <v/>
      </c>
      <c r="H50" s="348">
        <f>H10+H18+H26+H34+H42</f>
        <v/>
      </c>
      <c r="I50" s="349">
        <f>I10+I18+I26+I34+I42</f>
        <v/>
      </c>
      <c r="J50" s="348">
        <f>J10+J18+J26+J34+J42</f>
        <v/>
      </c>
      <c r="K50" s="349">
        <f>K10+K18+K26+K34+K42</f>
        <v/>
      </c>
      <c r="L50" s="350" t="n"/>
      <c r="M50" s="351">
        <f>D50+F50+H50+J50</f>
        <v/>
      </c>
      <c r="N50" s="352">
        <f>E50+G50+I50+K50</f>
        <v/>
      </c>
      <c r="O50" s="353">
        <f>M50+N50*2</f>
        <v/>
      </c>
      <c r="P50" s="351" t="n"/>
      <c r="Q50" s="352" t="n"/>
      <c r="R50" s="351" t="n"/>
      <c r="S50" s="352" t="n"/>
      <c r="T50" s="351" t="n"/>
      <c r="U50" s="436" t="n"/>
      <c r="V50" s="353" t="n"/>
    </row>
    <row r="51" ht="15" customHeight="1" s="1">
      <c r="A51" s="346" t="str"/>
      <c r="B51" s="359" t="n"/>
      <c r="C51" s="347" t="inlineStr">
        <is>
          <t>MT</t>
        </is>
      </c>
      <c r="D51" s="348">
        <f>D11+D19+D27+D35+D43</f>
        <v/>
      </c>
      <c r="E51" s="349">
        <f>E11+E19+E27+E35+E43</f>
        <v/>
      </c>
      <c r="F51" s="348">
        <f>F11+F19+F27+F35+F43</f>
        <v/>
      </c>
      <c r="G51" s="349">
        <f>G11+G19+G27+G35+G43</f>
        <v/>
      </c>
      <c r="H51" s="348">
        <f>H11+H19+H27+H35+H43</f>
        <v/>
      </c>
      <c r="I51" s="349">
        <f>I11+I19+I27+I35+I43</f>
        <v/>
      </c>
      <c r="J51" s="348">
        <f>J11+J19+J27+J35+J43</f>
        <v/>
      </c>
      <c r="K51" s="349">
        <f>K11+K19+K27+K35+K43</f>
        <v/>
      </c>
      <c r="L51" s="350" t="n"/>
      <c r="M51" s="351">
        <f>D51+F51+H51+J51</f>
        <v/>
      </c>
      <c r="N51" s="352">
        <f>E51+G51+I51+K51</f>
        <v/>
      </c>
      <c r="O51" s="353">
        <f>M51+N51*2</f>
        <v/>
      </c>
      <c r="P51" s="351" t="n"/>
      <c r="Q51" s="352" t="n"/>
      <c r="R51" s="351" t="n"/>
      <c r="S51" s="352" t="n"/>
      <c r="T51" s="351" t="n"/>
      <c r="U51" s="436" t="n"/>
      <c r="V51" s="353" t="n"/>
    </row>
    <row r="52" ht="15" customHeight="1" s="1">
      <c r="A52" s="346" t="str"/>
      <c r="B52" s="359" t="n"/>
      <c r="C52" s="347" t="inlineStr">
        <is>
          <t>Weight</t>
        </is>
      </c>
      <c r="D52" s="360">
        <f>D12+D20+D28+D36+D44</f>
        <v/>
      </c>
      <c r="E52" s="272" t="n"/>
      <c r="F52" s="360">
        <f>F12+F20+F28+F36+F44</f>
        <v/>
      </c>
      <c r="G52" s="272" t="n"/>
      <c r="H52" s="360">
        <f>H12+H20+H28+H36+H44</f>
        <v/>
      </c>
      <c r="I52" s="272" t="n"/>
      <c r="J52" s="360">
        <f>J12+J20+J28+J36+J44</f>
        <v/>
      </c>
      <c r="K52" s="272" t="n"/>
      <c r="L52" s="204" t="n"/>
      <c r="M52" s="437">
        <f>D52+F52+H52+J52</f>
        <v/>
      </c>
      <c r="N52" s="433" t="n"/>
      <c r="O52" s="437" t="n"/>
      <c r="P52" s="361" t="n"/>
      <c r="Q52" s="438" t="n"/>
      <c r="R52" s="439" t="n"/>
      <c r="S52" s="440" t="n"/>
      <c r="T52" s="361" t="n"/>
      <c r="U52" s="438" t="n"/>
      <c r="V52" s="437" t="n"/>
    </row>
    <row r="53" ht="15" customHeight="1" s="1">
      <c r="A53" s="441" t="n"/>
      <c r="B53" s="130" t="n"/>
      <c r="C53" s="368" t="inlineStr">
        <is>
          <t>TTL</t>
        </is>
      </c>
      <c r="D53" s="369">
        <f>D46+D47+D48+D49+D50+D51</f>
        <v/>
      </c>
      <c r="E53" s="370">
        <f>E46+E47+E48+E49+E50+E51</f>
        <v/>
      </c>
      <c r="F53" s="369">
        <f>F46+F47+F48+F49+F50+F51</f>
        <v/>
      </c>
      <c r="G53" s="370">
        <f>G46+G47+G48+G49+G50+G51</f>
        <v/>
      </c>
      <c r="H53" s="369">
        <f>H46+H47+H48+H49+H50+H51</f>
        <v/>
      </c>
      <c r="I53" s="370">
        <f>I46+I47+I48+I49+I50+I51</f>
        <v/>
      </c>
      <c r="J53" s="369">
        <f>J46+J47+J48+J49+J50+J51</f>
        <v/>
      </c>
      <c r="K53" s="370">
        <f>K46+K47+K48+K49+K50+K51</f>
        <v/>
      </c>
      <c r="L53" s="371" t="n"/>
      <c r="M53" s="372">
        <f>D53+F53+H53+J53</f>
        <v/>
      </c>
      <c r="N53" s="373">
        <f>E53+G53+I53+K53</f>
        <v/>
      </c>
      <c r="O53" s="374">
        <f>M53+N53*2</f>
        <v/>
      </c>
      <c r="P53" s="372" t="n"/>
      <c r="Q53" s="373" t="n"/>
      <c r="R53" s="372" t="n"/>
      <c r="S53" s="373" t="n"/>
      <c r="T53" s="372" t="n"/>
      <c r="U53" s="442" t="n"/>
      <c r="V53" s="374" t="n"/>
    </row>
    <row r="54" ht="15" customHeight="1" s="1">
      <c r="A54" s="380" t="inlineStr">
        <is>
          <t>TEUS</t>
        </is>
      </c>
      <c r="B54" s="381" t="n"/>
      <c r="C54" s="382" t="n"/>
      <c r="D54" s="383">
        <f>D46+E46*2+D47+E47*2+D48+E48*2+D49+E49*2+D50+E50*2+D51+E51*2</f>
        <v/>
      </c>
      <c r="E54" s="124" t="n"/>
      <c r="F54" s="383">
        <f>F46+G46*2+F47+G47*2+F48+G48*2+F49+G49*2+F50+G50*2+F51+G51*2</f>
        <v/>
      </c>
      <c r="G54" s="124" t="n"/>
      <c r="H54" s="383">
        <f>H46+I46*2+H47+I47*2+H48+I48*2+H49+I49*2+H50+I50*2+H51+I51*2</f>
        <v/>
      </c>
      <c r="I54" s="124" t="n"/>
      <c r="J54" s="383">
        <f>J46+K46*2+J47+K47*2+J48+K48*2+J49+K49*2+J50+K50*2+J51+K51*2</f>
        <v/>
      </c>
      <c r="K54" s="124" t="n"/>
      <c r="L54" s="384" t="n"/>
      <c r="M54" s="443" t="n"/>
      <c r="N54" s="444" t="n"/>
      <c r="O54" s="445" t="n"/>
      <c r="P54" s="443" t="n"/>
      <c r="Q54" s="444" t="n"/>
      <c r="R54" s="443" t="n"/>
      <c r="S54" s="444" t="n"/>
      <c r="T54" s="443" t="n"/>
      <c r="U54" s="446" t="n"/>
      <c r="V54" s="445" t="n"/>
    </row>
    <row r="55" ht="15" customHeight="1" s="1">
      <c r="A55" s="390" t="inlineStr">
        <is>
          <t>TOTAL MTONS</t>
        </is>
      </c>
      <c r="B55" s="391" t="n"/>
      <c r="C55" s="392" t="n"/>
      <c r="D55" s="393">
        <f>D52</f>
        <v/>
      </c>
      <c r="E55" s="274" t="n"/>
      <c r="F55" s="393">
        <f>F52</f>
        <v/>
      </c>
      <c r="G55" s="274" t="n"/>
      <c r="H55" s="393">
        <f>H52</f>
        <v/>
      </c>
      <c r="I55" s="274" t="n"/>
      <c r="J55" s="393">
        <f>J52</f>
        <v/>
      </c>
      <c r="K55" s="274" t="n"/>
      <c r="L55" s="240" t="n"/>
      <c r="M55" s="447" t="n"/>
      <c r="N55" s="448" t="n"/>
      <c r="O55" s="449" t="n"/>
      <c r="P55" s="447" t="n"/>
      <c r="Q55" s="448" t="n"/>
      <c r="R55" s="450" t="n"/>
      <c r="S55" s="451" t="n"/>
      <c r="T55" s="447" t="n"/>
      <c r="U55" s="448" t="n"/>
      <c r="V55" s="449" t="n"/>
    </row>
    <row r="56" ht="15" customHeight="1" s="1">
      <c r="A56" s="400" t="n"/>
      <c r="B56" s="401" t="n"/>
      <c r="C56" s="402" t="n"/>
      <c r="D56" s="429" t="n"/>
      <c r="E56" s="430" t="n"/>
      <c r="F56" s="429" t="n"/>
      <c r="G56" s="430" t="n"/>
      <c r="H56" s="429" t="n"/>
      <c r="I56" s="430" t="n"/>
      <c r="J56" s="429" t="n"/>
      <c r="K56" s="430" t="n"/>
      <c r="L56" s="315" t="n"/>
      <c r="M56" s="316" t="n"/>
      <c r="N56" s="317" t="n"/>
      <c r="O56" s="318" t="n"/>
      <c r="P56" s="316" t="n"/>
      <c r="Q56" s="317" t="n"/>
      <c r="R56" s="316" t="n"/>
      <c r="S56" s="317" t="n"/>
      <c r="T56" s="316" t="n"/>
      <c r="U56" s="431" t="n"/>
      <c r="V56" s="318" t="n"/>
    </row>
    <row r="57" ht="15" customHeight="1" s="1">
      <c r="A57" s="400" t="n"/>
      <c r="B57" s="401" t="n"/>
      <c r="C57" s="402" t="n"/>
      <c r="D57" s="429" t="n"/>
      <c r="E57" s="430" t="n"/>
      <c r="F57" s="429" t="n"/>
      <c r="G57" s="430" t="n"/>
      <c r="H57" s="429" t="n"/>
      <c r="I57" s="430" t="n"/>
      <c r="J57" s="429" t="n"/>
      <c r="K57" s="430" t="n"/>
      <c r="L57" s="315" t="n"/>
      <c r="M57" s="316" t="n"/>
      <c r="N57" s="317" t="n"/>
      <c r="O57" s="318" t="n"/>
      <c r="P57" s="316" t="n"/>
      <c r="Q57" s="317" t="n"/>
      <c r="R57" s="316" t="n"/>
      <c r="S57" s="317" t="n"/>
      <c r="T57" s="316" t="n"/>
      <c r="U57" s="431" t="n"/>
      <c r="V57" s="318" t="n"/>
    </row>
    <row r="58" ht="15" customHeight="1" s="1">
      <c r="A58" s="452" t="inlineStr">
        <is>
          <t>Move Count Utilised (Sheet)</t>
        </is>
      </c>
      <c r="B58" s="124" t="n"/>
      <c r="C58" s="125" t="n"/>
      <c r="D58" s="383">
        <f>D53+E53+M21+N21</f>
        <v/>
      </c>
      <c r="E58" s="124" t="n"/>
      <c r="F58" s="383">
        <f>F53+G53+M29+N29</f>
        <v/>
      </c>
      <c r="G58" s="124" t="n"/>
      <c r="H58" s="383">
        <f>H53+I53+M37+N37</f>
        <v/>
      </c>
      <c r="I58" s="124" t="n"/>
      <c r="J58" s="383">
        <f>J53+K53+M45+N45</f>
        <v/>
      </c>
      <c r="K58" s="124" t="n"/>
      <c r="L58" s="384" t="n"/>
      <c r="M58" s="443" t="n"/>
      <c r="N58" s="444" t="n"/>
      <c r="O58" s="445" t="n"/>
      <c r="P58" s="443" t="n"/>
      <c r="Q58" s="444" t="n"/>
      <c r="R58" s="443" t="n"/>
      <c r="S58" s="444" t="n"/>
      <c r="T58" s="443" t="n"/>
      <c r="U58" s="446" t="n"/>
      <c r="V58" s="445" t="n"/>
    </row>
    <row r="59" ht="15" customHeight="1" s="1">
      <c r="A59" s="428" t="inlineStr">
        <is>
          <t>Move Count Utilised (WB+EB)</t>
        </is>
      </c>
      <c r="C59" s="127" t="n"/>
      <c r="D59" s="403">
        <f>SUMIF(WB!$D$3:$W$3,D$3,WB!$D$106:$W$106)+SUMIF(EB!$D$3:$K$3,D$3,EB!$D$58:$K$58)</f>
        <v/>
      </c>
      <c r="F59" s="403">
        <f>SUMIF(WB!$D$3:$W$3,F$3,WB!$D$106:$W$106)+SUMIF(EB!$D$3:$K$3,F$3,EB!$D$58:$K$58)</f>
        <v/>
      </c>
      <c r="H59" s="403">
        <f>SUMIF(WB!$D$3:$W$3,H$3,WB!$D$106:$W$106)+SUMIF(EB!$D$3:$K$3,H$3,EB!$D$58:$K$58)</f>
        <v/>
      </c>
      <c r="J59" s="403">
        <f>SUMIF(WB!$D$3:$W$3,J$3,WB!$D$106:$W$106)+SUMIF(EB!$D$3:$K$3,J$3,EB!$D$58:$K$58)</f>
        <v/>
      </c>
      <c r="L59" s="404" t="n"/>
      <c r="M59" s="453" t="n"/>
      <c r="N59" s="454" t="n"/>
      <c r="O59" s="455" t="n"/>
      <c r="P59" s="453" t="n"/>
      <c r="Q59" s="454" t="n"/>
      <c r="R59" s="453" t="n"/>
      <c r="S59" s="454" t="n"/>
      <c r="T59" s="453" t="n"/>
      <c r="U59" s="456" t="n"/>
      <c r="V59" s="455" t="n"/>
    </row>
    <row r="60" ht="15" customHeight="1" s="1">
      <c r="A60" s="457" t="inlineStr">
        <is>
          <t>Move Count Limit</t>
        </is>
      </c>
      <c r="C60" s="127" t="n"/>
      <c r="D60" s="411" t="n"/>
      <c r="F60" s="411" t="n"/>
      <c r="H60" s="411" t="n"/>
      <c r="J60" s="411" t="n"/>
      <c r="L60" s="412" t="n"/>
      <c r="M60" s="458" t="n"/>
      <c r="N60" s="459" t="n"/>
      <c r="O60" s="460" t="n"/>
      <c r="P60" s="458" t="n"/>
      <c r="Q60" s="459" t="n"/>
      <c r="R60" s="458" t="n"/>
      <c r="S60" s="459" t="n"/>
      <c r="T60" s="458" t="n"/>
      <c r="U60" s="461" t="n"/>
      <c r="V60" s="460" t="n"/>
    </row>
    <row r="61" ht="15" customHeight="1" s="1">
      <c r="A61" s="434" t="inlineStr">
        <is>
          <t>Balance Move Count</t>
        </is>
      </c>
      <c r="B61" s="129" t="n"/>
      <c r="C61" s="130" t="n"/>
      <c r="D61" s="418">
        <f>D60-D59</f>
        <v/>
      </c>
      <c r="E61" s="129" t="n"/>
      <c r="F61" s="418">
        <f>F60-F59</f>
        <v/>
      </c>
      <c r="G61" s="129" t="n"/>
      <c r="H61" s="418">
        <f>H60-H59</f>
        <v/>
      </c>
      <c r="I61" s="129" t="n"/>
      <c r="J61" s="418">
        <f>J60-J59</f>
        <v/>
      </c>
      <c r="K61" s="129" t="n"/>
      <c r="L61" s="420" t="n"/>
      <c r="M61" s="462" t="n"/>
      <c r="N61" s="463" t="n"/>
      <c r="O61" s="464" t="n"/>
      <c r="P61" s="462" t="n"/>
      <c r="Q61" s="463" t="n"/>
      <c r="R61" s="462" t="n"/>
      <c r="S61" s="463" t="n"/>
      <c r="T61" s="462" t="n"/>
      <c r="U61" s="465" t="n"/>
      <c r="V61" s="464" t="n"/>
    </row>
  </sheetData>
  <mergeCells count="91">
    <mergeCell ref="D20:E20"/>
    <mergeCell ref="D60:E60"/>
    <mergeCell ref="H1:L1"/>
    <mergeCell ref="H55:I55"/>
    <mergeCell ref="J59:K59"/>
    <mergeCell ref="J28:K28"/>
    <mergeCell ref="D36:E36"/>
    <mergeCell ref="J60:K60"/>
    <mergeCell ref="A30:B34"/>
    <mergeCell ref="D2:H2"/>
    <mergeCell ref="D61:E61"/>
    <mergeCell ref="H52:I52"/>
    <mergeCell ref="J4:K4"/>
    <mergeCell ref="A46:B50"/>
    <mergeCell ref="M36:N36"/>
    <mergeCell ref="D4:E4"/>
    <mergeCell ref="A53:B53"/>
    <mergeCell ref="J58:K58"/>
    <mergeCell ref="F54:G54"/>
    <mergeCell ref="H54:I54"/>
    <mergeCell ref="M44:N44"/>
    <mergeCell ref="A45:B45"/>
    <mergeCell ref="A3:C3"/>
    <mergeCell ref="A5:C5"/>
    <mergeCell ref="F20:G20"/>
    <mergeCell ref="A37:B37"/>
    <mergeCell ref="H36:I36"/>
    <mergeCell ref="A4:C4"/>
    <mergeCell ref="J36:K36"/>
    <mergeCell ref="A1:G1"/>
    <mergeCell ref="J20:K20"/>
    <mergeCell ref="A58:C58"/>
    <mergeCell ref="F28:G28"/>
    <mergeCell ref="H28:I28"/>
    <mergeCell ref="H3:I3"/>
    <mergeCell ref="F61:G61"/>
    <mergeCell ref="J3:K3"/>
    <mergeCell ref="H12:I12"/>
    <mergeCell ref="A60:C60"/>
    <mergeCell ref="J12:K12"/>
    <mergeCell ref="A14:B18"/>
    <mergeCell ref="J61:K61"/>
    <mergeCell ref="A38:B42"/>
    <mergeCell ref="F4:G4"/>
    <mergeCell ref="M52:N52"/>
    <mergeCell ref="H58:I58"/>
    <mergeCell ref="A2:C2"/>
    <mergeCell ref="M2:N2"/>
    <mergeCell ref="D52:E52"/>
    <mergeCell ref="H60:I60"/>
    <mergeCell ref="F36:G36"/>
    <mergeCell ref="A6:B10"/>
    <mergeCell ref="A21:B21"/>
    <mergeCell ref="M12:N12"/>
    <mergeCell ref="D28:E28"/>
    <mergeCell ref="A59:C59"/>
    <mergeCell ref="D3:E3"/>
    <mergeCell ref="D12:E12"/>
    <mergeCell ref="P3:Q3"/>
    <mergeCell ref="D55:E55"/>
    <mergeCell ref="A61:C61"/>
    <mergeCell ref="D54:E54"/>
    <mergeCell ref="T3:U3"/>
    <mergeCell ref="J52:K52"/>
    <mergeCell ref="J44:K44"/>
    <mergeCell ref="H20:I20"/>
    <mergeCell ref="H4:I4"/>
    <mergeCell ref="H44:I44"/>
    <mergeCell ref="F3:G3"/>
    <mergeCell ref="F59:G59"/>
    <mergeCell ref="F55:G55"/>
    <mergeCell ref="H59:I59"/>
    <mergeCell ref="F12:G12"/>
    <mergeCell ref="M20:N20"/>
    <mergeCell ref="H61:I61"/>
    <mergeCell ref="J55:K55"/>
    <mergeCell ref="M1:V1"/>
    <mergeCell ref="J54:K54"/>
    <mergeCell ref="M28:N28"/>
    <mergeCell ref="R3:S3"/>
    <mergeCell ref="M3:N3"/>
    <mergeCell ref="D58:E58"/>
    <mergeCell ref="F58:G58"/>
    <mergeCell ref="F52:G52"/>
    <mergeCell ref="A29:B29"/>
    <mergeCell ref="F60:G60"/>
    <mergeCell ref="A13:B13"/>
    <mergeCell ref="A22:B26"/>
    <mergeCell ref="D44:E44"/>
    <mergeCell ref="D59:E59"/>
    <mergeCell ref="F44:G44"/>
  </mergeCells>
  <pageMargins left="0.25" right="0.25" top="0.5" bottom="0.5" header="0.3" footer="0.3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2026-06-15T13:43:46Z</dcterms:created>
  <dcterms:modified xmlns:dcterms="http://purl.org/dc/terms/" xmlns:xsi="http://www.w3.org/2001/XMLSchema-instance" xsi:type="dcterms:W3CDTF">2026-06-16T06:57:03Z</dcterms:modified>
</cp:coreProperties>
</file>